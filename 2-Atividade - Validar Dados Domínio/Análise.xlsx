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S:\RH\Controller\01-Importação Folha\02-Validação\"/>
    </mc:Choice>
  </mc:AlternateContent>
  <xr:revisionPtr revIDLastSave="0" documentId="13_ncr:1_{BB1D6CE7-037D-4F58-A4F8-A719108F0DF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TEGRAÇÃO" sheetId="3" r:id="rId1"/>
    <sheet name="RESUMO" sheetId="5" r:id="rId2"/>
    <sheet name="BASE INTEGRAÇÃO" sheetId="2" r:id="rId3"/>
  </sheets>
  <definedNames>
    <definedName name="_xlnm._FilterDatabase" localSheetId="0" hidden="1">INTEGRAÇÃO!$A$1:$M$26</definedName>
    <definedName name="DadosExternos_1" localSheetId="2" hidden="1">'BASE INTEGRAÇÃO'!$A$1:$F$330</definedName>
    <definedName name="DadosExternos_1" localSheetId="1" hidden="1">RESUMO!$A$1:$C$18</definedName>
    <definedName name="SegmentaçãodeDados_Descrição">#N/A</definedName>
    <definedName name="SegmentaçãodeDados_Loja">#N/A</definedName>
  </definedNames>
  <calcPr calcId="191029"/>
  <pivotCaches>
    <pivotCache cacheId="1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5" l="1"/>
  <c r="K1" i="3" l="1"/>
  <c r="H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FGTS" description="Conexão com a consulta 'FGTS' na pasta de trabalho." type="5" refreshedVersion="0" background="1">
    <dbPr connection="Provider=Microsoft.Mashup.OleDb.1;Data Source=$Workbook$;Location=FGTS;Extended Properties=&quot;&quot;" command="SELECT * FROM [FGTS]"/>
  </connection>
  <connection id="2" xr16:uid="{00000000-0015-0000-FFFF-FFFF01000000}" keepAlive="1" name="Consulta - Integração Contábil" description="Conexão com a consulta 'Integração Contábil' na pasta de trabalho." type="5" refreshedVersion="8" background="1" saveData="1">
    <dbPr connection="Provider=Microsoft.Mashup.OleDb.1;Data Source=$Workbook$;Location=Integração Contábil;Extended Properties=&quot;&quot;" command="SELECT * FROM [Integração Contábil]"/>
  </connection>
  <connection id="3" xr16:uid="{00000000-0015-0000-FFFF-FFFF02000000}" keepAlive="1" name="Consulta - Resumo Mensal" description="Conexão com a consulta 'Resumo Mensal' na pasta de trabalho." type="5" refreshedVersion="8" background="1" saveData="1">
    <dbPr connection="Provider=Microsoft.Mashup.OleDb.1;Data Source=$Workbook$;Location=Resumo Mensal;Extended Properties=&quot;&quot;" command="SELECT * FROM [Resumo Mensal]"/>
  </connection>
</connections>
</file>

<file path=xl/sharedStrings.xml><?xml version="1.0" encoding="utf-8"?>
<sst xmlns="http://schemas.openxmlformats.org/spreadsheetml/2006/main" count="1724" uniqueCount="106">
  <si>
    <t>Descrição</t>
  </si>
  <si>
    <t>Crédito</t>
  </si>
  <si>
    <t>Loja</t>
  </si>
  <si>
    <t xml:space="preserve">NUNES FL 09 TERENOS </t>
  </si>
  <si>
    <t>IRRF Retido na fonte</t>
  </si>
  <si>
    <t>211407</t>
  </si>
  <si>
    <t xml:space="preserve">INSS retido da Folha de pagamento </t>
  </si>
  <si>
    <t>211415</t>
  </si>
  <si>
    <t>331201</t>
  </si>
  <si>
    <t>211402</t>
  </si>
  <si>
    <t/>
  </si>
  <si>
    <t xml:space="preserve">Salario familia </t>
  </si>
  <si>
    <t>NUNES FL 10 - 14 DE JULHO</t>
  </si>
  <si>
    <t>NUNES FL 11 CD PRINCIPAL</t>
  </si>
  <si>
    <t>Pensão Alimenticia</t>
  </si>
  <si>
    <t>211306</t>
  </si>
  <si>
    <t>NUNES FL 02 - CAIOBÁ</t>
  </si>
  <si>
    <t xml:space="preserve">Salário e Ordenado - Serviço militar </t>
  </si>
  <si>
    <t>NUNES FL 00 - AEROPORTO</t>
  </si>
  <si>
    <t>NUNES FL 01 JULIO DE CASTILHO</t>
  </si>
  <si>
    <t>NUNES FL 03 EULER</t>
  </si>
  <si>
    <t>NUNES FL 04 - GUANANDI</t>
  </si>
  <si>
    <t>NUNES FL 05 - VILAS BOAS</t>
  </si>
  <si>
    <t>NUNES FL 06 - NOVA CG</t>
  </si>
  <si>
    <t>NUNES FL 07 - MORENINHAS</t>
  </si>
  <si>
    <t>NUNES FL 08 ADM/COM</t>
  </si>
  <si>
    <t>NUNES FL 12 - SANTA LUZIA</t>
  </si>
  <si>
    <t>NUNES FL 13 - PARQUE DO SOL</t>
  </si>
  <si>
    <t>Débito</t>
  </si>
  <si>
    <t>D/C</t>
  </si>
  <si>
    <t>D</t>
  </si>
  <si>
    <t>C</t>
  </si>
  <si>
    <t>112916</t>
  </si>
  <si>
    <t>212401</t>
  </si>
  <si>
    <t>Valor R$</t>
  </si>
  <si>
    <t>Rótulos de Coluna</t>
  </si>
  <si>
    <t>Total Geral</t>
  </si>
  <si>
    <t>Soma de Valor R$</t>
  </si>
  <si>
    <t>INTEGRAÇÃO</t>
  </si>
  <si>
    <t>Personalizar.1</t>
  </si>
  <si>
    <t>Valor Calculado</t>
  </si>
  <si>
    <t>Lojas</t>
  </si>
  <si>
    <t>13 Salário integral - Proventos</t>
  </si>
  <si>
    <t xml:space="preserve">13 Salario integral - proventos </t>
  </si>
  <si>
    <t>762 - NUNES FL 00 - AEROPORTO</t>
  </si>
  <si>
    <t>PROVENTOS</t>
  </si>
  <si>
    <t>763 - NUNES FL 01 JULIO DE CASTILHO</t>
  </si>
  <si>
    <t>761 - NUNES FL 02 - CAIOBÁ</t>
  </si>
  <si>
    <t>793 - NUNES FL 03 EULER</t>
  </si>
  <si>
    <t>820 - NUNES FL 04 - GUANANDI</t>
  </si>
  <si>
    <t>860 - NUNES FL 05 - VILAS BOAS</t>
  </si>
  <si>
    <t>899 - NUNES FL 06 - NOVA CG</t>
  </si>
  <si>
    <t>924 - NUNES FL 07 - MORENINHAS</t>
  </si>
  <si>
    <t>925 - NUNES FL 08 ADM/COM</t>
  </si>
  <si>
    <t xml:space="preserve">1 - NUNES FL 09 TERENOS </t>
  </si>
  <si>
    <t>2 - NUNES FL 10 - 14 DE JULHO</t>
  </si>
  <si>
    <t>3 - NUNES FL 11 CD PRINCIPAL</t>
  </si>
  <si>
    <t>1011 - NUNES FL 12 - SANTA LUZIA</t>
  </si>
  <si>
    <t>1108 - NUNES FL 13 - PARQUE DO SOL</t>
  </si>
  <si>
    <t>112820</t>
  </si>
  <si>
    <t>Fgts</t>
  </si>
  <si>
    <t>331207</t>
  </si>
  <si>
    <t xml:space="preserve">Horas Extras </t>
  </si>
  <si>
    <t>331202</t>
  </si>
  <si>
    <t xml:space="preserve">Provisão Para 13 Salário </t>
  </si>
  <si>
    <t xml:space="preserve">Salário e Ordenados </t>
  </si>
  <si>
    <t>Salario Liquido a pagar</t>
  </si>
  <si>
    <t>211301</t>
  </si>
  <si>
    <t>Descontos - convenio, quebra e adiantame</t>
  </si>
  <si>
    <t>211705</t>
  </si>
  <si>
    <t xml:space="preserve">Provisão Para Férias </t>
  </si>
  <si>
    <t>212301</t>
  </si>
  <si>
    <t>Horas Faltas</t>
  </si>
  <si>
    <t>Crédito Trabalhador - FGTS</t>
  </si>
  <si>
    <t>211926</t>
  </si>
  <si>
    <t xml:space="preserve">Desconto Plano de Saude, convenio PAX </t>
  </si>
  <si>
    <t>112821</t>
  </si>
  <si>
    <t>Arredondamento</t>
  </si>
  <si>
    <t>Vale transporte</t>
  </si>
  <si>
    <t>331212</t>
  </si>
  <si>
    <t xml:space="preserve">Adiantamento de Ferias </t>
  </si>
  <si>
    <t>112823</t>
  </si>
  <si>
    <t xml:space="preserve">Aviso Previo reavido </t>
  </si>
  <si>
    <t>Rescisão Contratual - Liquido Rescisão</t>
  </si>
  <si>
    <t>112822</t>
  </si>
  <si>
    <t xml:space="preserve">Fgts folha </t>
  </si>
  <si>
    <t xml:space="preserve">Sindicatos </t>
  </si>
  <si>
    <t>Prolabore</t>
  </si>
  <si>
    <t>331101</t>
  </si>
  <si>
    <t>Multa estabilidade Art. 480/clt</t>
  </si>
  <si>
    <t>331219</t>
  </si>
  <si>
    <t>Fgts folha - despesa</t>
  </si>
  <si>
    <t xml:space="preserve">Ferias Indenizadas </t>
  </si>
  <si>
    <t>331203</t>
  </si>
  <si>
    <t>1159 - NUNES FL 14 - ZAHRAN</t>
  </si>
  <si>
    <t>NUNES FL 14 - ZAHRAN</t>
  </si>
  <si>
    <t>Aviso Previo Indenizado</t>
  </si>
  <si>
    <t>331210</t>
  </si>
  <si>
    <t xml:space="preserve">13º Salário integral - proventos </t>
  </si>
  <si>
    <t>1160 - NUNES FL 15 - TIJUCA</t>
  </si>
  <si>
    <t>1207 - NUNES FL 17 - CORUMBA</t>
  </si>
  <si>
    <t>13º Salário integral - proventos</t>
  </si>
  <si>
    <t>13° Salário Indenizado</t>
  </si>
  <si>
    <t>331204</t>
  </si>
  <si>
    <t>NUNES FL 15 - TIJUCA</t>
  </si>
  <si>
    <t>NUNES FL 17 - CORUMBA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</si>
</sst>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1" applyFont="1"/>
    <xf numFmtId="164" fontId="0" fillId="3" borderId="0" xfId="0" applyNumberFormat="1" applyFill="1" applyAlignment="1">
      <alignment horizontal="center"/>
    </xf>
    <xf numFmtId="44" fontId="0" fillId="0" borderId="0" xfId="0" applyNumberFormat="1"/>
    <xf numFmtId="0" fontId="4" fillId="2" borderId="0" xfId="0" applyFont="1" applyFill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71"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00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180974</xdr:rowOff>
    </xdr:from>
    <xdr:to>
      <xdr:col>7</xdr:col>
      <xdr:colOff>0</xdr:colOff>
      <xdr:row>35</xdr:row>
      <xdr:rowOff>180974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Loja">
              <a:extLst>
                <a:ext uri="{FF2B5EF4-FFF2-40B4-BE49-F238E27FC236}">
                  <a16:creationId xmlns:a16="http://schemas.microsoft.com/office/drawing/2014/main" id="{2A131E72-3369-8524-5F93-A056AAA177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j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5850" y="361949"/>
              <a:ext cx="2438400" cy="5972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600074</xdr:colOff>
      <xdr:row>1</xdr:row>
      <xdr:rowOff>119063</xdr:rowOff>
    </xdr:from>
    <xdr:to>
      <xdr:col>11</xdr:col>
      <xdr:colOff>285749</xdr:colOff>
      <xdr:row>35</xdr:row>
      <xdr:rowOff>100013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scrição">
              <a:extLst>
                <a:ext uri="{FF2B5EF4-FFF2-40B4-BE49-F238E27FC236}">
                  <a16:creationId xmlns:a16="http://schemas.microsoft.com/office/drawing/2014/main" id="{FA320887-ADE9-FD15-D5C4-FE7EC72248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55668" y="309563"/>
              <a:ext cx="2721769" cy="626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anilza Silva de Jesus" refreshedDate="46274.579293750001" createdVersion="8" refreshedVersion="8" minRefreshableVersion="3" recordCount="329" xr:uid="{00000000-000A-0000-FFFF-FFFF00000000}">
  <cacheSource type="worksheet">
    <worksheetSource name="Integração_Contábil"/>
  </cacheSource>
  <cacheFields count="6">
    <cacheField name="Loja" numFmtId="0">
      <sharedItems count="20">
        <s v="NUNES FL 09 TERENOS "/>
        <s v="NUNES FL 10 - 14 DE JULHO"/>
        <s v="NUNES FL 11 CD PRINCIPAL"/>
        <s v="NUNES FL 02 - CAIOBÁ"/>
        <s v="NUNES FL 00 - AEROPORTO"/>
        <s v="NUNES FL 01 JULIO DE CASTILHO"/>
        <s v="NUNES FL 03 EULER"/>
        <s v="NUNES FL 04 - GUANANDI"/>
        <s v="NUNES FL 05 - VILAS BOAS"/>
        <s v="NUNES FL 06 - NOVA CG"/>
        <s v="NUNES FL 07 - MORENINHAS"/>
        <s v="NUNES FL 08 ADM/COM"/>
        <s v="NUNES FL 12 - SANTA LUZIA"/>
        <s v="NUNES FL 13 - PARQUE DO SOL"/>
        <s v="NUNES FL 14 - ZAHRAN"/>
        <s v="NUNES FL 15 - TIJUCA"/>
        <s v="NUNES FL 17 - CORUMBA"/>
        <s v="NUNES FL15 - TIJUCA" u="1"/>
        <s v="OLIVEIRA E CARNEIRO LTDA FL 14" u="1"/>
        <s v="OLIVEIRA E CARNEIRO LTDA FL15" u="1"/>
      </sharedItems>
    </cacheField>
    <cacheField name="Descrição" numFmtId="0">
      <sharedItems count="62">
        <s v="Salário e Ordenados "/>
        <s v="Horas Extras "/>
        <s v="INSS retido da Folha de pagamento "/>
        <s v="Salario Liquido a pagar"/>
        <s v="Fgts"/>
        <s v="Descontos - convenio, quebra e adiantame"/>
        <s v="Horas Faltas"/>
        <s v="Crédito Trabalhador - FGTS"/>
        <s v="IRRF Retido na fonte"/>
        <s v="Desconto Plano de Saude, convenio PAX "/>
        <s v="Provisão Para Férias "/>
        <s v="Vale transporte"/>
        <s v="Adiantamento de Ferias "/>
        <s v="Provisão Para 13 Salário "/>
        <s v="Rescisão Contratual - Liquido Rescisão"/>
        <s v="Fgts folha "/>
        <s v="Arredondamento"/>
        <s v="Aviso Previo reavido "/>
        <s v="Pensão Alimenticia"/>
        <s v="Sindicatos "/>
        <s v="Salario familia "/>
        <s v="13 Salário integral - Proventos"/>
        <s v="Salário e Ordenado - Serviço militar "/>
        <s v="13º Salário integral - proventos "/>
        <s v="Multa estabilidade Art. 480/clt"/>
        <s v="Prolabore"/>
        <s v="Ferias Indenizadas "/>
        <s v="13º Salário integral - proventos"/>
        <s v="13 Salario integral - proventos "/>
        <s v="Fgts folha - despesa"/>
        <s v="13° Salário Indenizado"/>
        <s v="Aviso Previo Indenizado"/>
        <s v="Multa Estabilidade Art. 480/clt Indeniza" u="1"/>
        <s v="Contribuição Negocial Laboral " u="1"/>
        <s v="13 Salário Integral - FGTS" u="1"/>
        <s v="13 Salário Integral - Proventos " u="1"/>
        <s v="13 salario inegral - proventos " u="1"/>
        <s v="13 Salário integral - descontos " u="1"/>
        <s v="Adiantamento 13 Rescisão" u="1"/>
        <s v="13º Salario Integral - descontos " u="1"/>
        <s v="Adiantamento 13 Rescisão " u="1"/>
        <s v="13 salario integral descontos " u="1"/>
        <s v="13º salário - Descontos" u="1"/>
        <s v="Estorno de 13º" u="1"/>
        <s v="13° adiantamento rescisão " u="1"/>
        <s v="13 Salário Integral - desconstos" u="1"/>
        <s v="13 Salário Integral- descontos " u="1"/>
        <s v="13 Salário integral -descontos " u="1"/>
        <s v="13 Salario integral - Descontos " u="1"/>
        <s v="13 Salário a pagar" u="1"/>
        <s v="13º Salário a pagar" u="1"/>
        <s v="13º Salário integral - FGTS" u="1"/>
        <s v="13 Salário a pagar " u="1"/>
        <s v="13 salario integral - FGTS" u="1"/>
        <s v="13º Saário integral - FGTS" u="1"/>
        <s v="13º Salário Integral - descontos " u="1"/>
        <s v="13º Salario integral - Proventos " u="1"/>
        <s v="13 Salário Inetegral - FGTS" u="1"/>
        <s v="13 Salário integral - FGTS " u="1"/>
        <s v="13 Salário inegral - FGTS" u="1"/>
        <s v="13 Salário Integra - FGTS" u="1"/>
        <s v="13 Salário Integral FGTS" u="1"/>
      </sharedItems>
    </cacheField>
    <cacheField name="Débito" numFmtId="0">
      <sharedItems/>
    </cacheField>
    <cacheField name="Crédito" numFmtId="0">
      <sharedItems/>
    </cacheField>
    <cacheField name="D/C" numFmtId="0">
      <sharedItems count="2">
        <s v="D"/>
        <s v="C"/>
      </sharedItems>
    </cacheField>
    <cacheField name="Valor R$" numFmtId="0">
      <sharedItems containsSemiMixedTypes="0" containsString="0" containsNumber="1" minValue="0.13" maxValue="224671.62"/>
    </cacheField>
  </cacheFields>
  <extLst>
    <ext xmlns:x14="http://schemas.microsoft.com/office/spreadsheetml/2009/9/main" uri="{725AE2AE-9491-48be-B2B4-4EB974FC3084}">
      <x14:pivotCacheDefinition pivotCacheId="6722176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x v="0"/>
    <x v="0"/>
    <s v="331201"/>
    <s v=""/>
    <x v="0"/>
    <n v="147088.82"/>
  </r>
  <r>
    <x v="0"/>
    <x v="1"/>
    <s v="331202"/>
    <s v=""/>
    <x v="0"/>
    <n v="39861.23000000001"/>
  </r>
  <r>
    <x v="0"/>
    <x v="2"/>
    <s v=""/>
    <s v="211415"/>
    <x v="1"/>
    <n v="16228.720000000001"/>
  </r>
  <r>
    <x v="0"/>
    <x v="3"/>
    <s v=""/>
    <s v="211301"/>
    <x v="1"/>
    <n v="127257.74999999997"/>
  </r>
  <r>
    <x v="0"/>
    <x v="4"/>
    <s v="331207"/>
    <s v="211402"/>
    <x v="0"/>
    <n v="14516.150000000009"/>
  </r>
  <r>
    <x v="0"/>
    <x v="5"/>
    <s v=""/>
    <s v="211705"/>
    <x v="1"/>
    <n v="11864.859999999999"/>
  </r>
  <r>
    <x v="0"/>
    <x v="6"/>
    <s v=""/>
    <s v="331201"/>
    <x v="1"/>
    <n v="10428.48"/>
  </r>
  <r>
    <x v="0"/>
    <x v="7"/>
    <s v=""/>
    <s v="211926"/>
    <x v="1"/>
    <n v="20311.3"/>
  </r>
  <r>
    <x v="0"/>
    <x v="8"/>
    <s v=""/>
    <s v="211407"/>
    <x v="1"/>
    <n v="729.11"/>
  </r>
  <r>
    <x v="0"/>
    <x v="9"/>
    <s v=""/>
    <s v="112821"/>
    <x v="1"/>
    <n v="199.16"/>
  </r>
  <r>
    <x v="0"/>
    <x v="10"/>
    <s v="212301"/>
    <s v=""/>
    <x v="0"/>
    <n v="18477.939999999999"/>
  </r>
  <r>
    <x v="0"/>
    <x v="11"/>
    <s v=""/>
    <s v="331212"/>
    <x v="1"/>
    <n v="184.35"/>
  </r>
  <r>
    <x v="0"/>
    <x v="12"/>
    <s v=""/>
    <s v="112823"/>
    <x v="1"/>
    <n v="12770.41"/>
  </r>
  <r>
    <x v="0"/>
    <x v="13"/>
    <s v="212401"/>
    <s v=""/>
    <x v="0"/>
    <n v="1335.59"/>
  </r>
  <r>
    <x v="0"/>
    <x v="14"/>
    <s v=""/>
    <s v="112822"/>
    <x v="1"/>
    <n v="6789.44"/>
  </r>
  <r>
    <x v="1"/>
    <x v="0"/>
    <s v="331201"/>
    <s v=""/>
    <x v="0"/>
    <n v="58915.91"/>
  </r>
  <r>
    <x v="1"/>
    <x v="2"/>
    <s v=""/>
    <s v="211415"/>
    <x v="1"/>
    <n v="6746.5700000000024"/>
  </r>
  <r>
    <x v="1"/>
    <x v="3"/>
    <s v=""/>
    <s v="211301"/>
    <x v="1"/>
    <n v="44695"/>
  </r>
  <r>
    <x v="1"/>
    <x v="15"/>
    <s v="331207"/>
    <s v="211402"/>
    <x v="0"/>
    <n v="5501.6399999999994"/>
  </r>
  <r>
    <x v="1"/>
    <x v="6"/>
    <s v=""/>
    <s v="331201"/>
    <x v="1"/>
    <n v="2159.3599999999997"/>
  </r>
  <r>
    <x v="1"/>
    <x v="16"/>
    <s v=""/>
    <s v="331201"/>
    <x v="1"/>
    <n v="0.9"/>
  </r>
  <r>
    <x v="1"/>
    <x v="5"/>
    <s v=""/>
    <s v="211705"/>
    <x v="1"/>
    <n v="3790.15"/>
  </r>
  <r>
    <x v="1"/>
    <x v="7"/>
    <s v=""/>
    <s v="211926"/>
    <x v="1"/>
    <n v="6469.79"/>
  </r>
  <r>
    <x v="1"/>
    <x v="1"/>
    <s v="331202"/>
    <s v=""/>
    <x v="0"/>
    <n v="8721.77"/>
  </r>
  <r>
    <x v="1"/>
    <x v="11"/>
    <s v=""/>
    <s v="331212"/>
    <x v="1"/>
    <n v="876.98"/>
  </r>
  <r>
    <x v="1"/>
    <x v="10"/>
    <s v="212301"/>
    <s v=""/>
    <x v="0"/>
    <n v="15392.91"/>
  </r>
  <r>
    <x v="1"/>
    <x v="8"/>
    <s v=""/>
    <s v="211407"/>
    <x v="1"/>
    <n v="908.71"/>
  </r>
  <r>
    <x v="1"/>
    <x v="9"/>
    <s v=""/>
    <s v="112821"/>
    <x v="1"/>
    <n v="383.76"/>
  </r>
  <r>
    <x v="1"/>
    <x v="12"/>
    <s v=""/>
    <s v="112823"/>
    <x v="1"/>
    <n v="8869.25"/>
  </r>
  <r>
    <x v="1"/>
    <x v="13"/>
    <s v="212401"/>
    <s v=""/>
    <x v="0"/>
    <n v="4131.41"/>
  </r>
  <r>
    <x v="1"/>
    <x v="14"/>
    <s v=""/>
    <s v="112822"/>
    <x v="1"/>
    <n v="8521.1200000000008"/>
  </r>
  <r>
    <x v="1"/>
    <x v="17"/>
    <s v=""/>
    <s v="331201"/>
    <x v="1"/>
    <n v="3740.41"/>
  </r>
  <r>
    <x v="2"/>
    <x v="0"/>
    <s v="331201"/>
    <s v=""/>
    <x v="0"/>
    <n v="79552.05"/>
  </r>
  <r>
    <x v="2"/>
    <x v="1"/>
    <s v="331202"/>
    <s v=""/>
    <x v="0"/>
    <n v="5833.1799999999994"/>
  </r>
  <r>
    <x v="2"/>
    <x v="18"/>
    <s v=""/>
    <s v="211306"/>
    <x v="1"/>
    <n v="648.4"/>
  </r>
  <r>
    <x v="2"/>
    <x v="2"/>
    <s v=""/>
    <s v="211415"/>
    <x v="1"/>
    <n v="6770.0499999999993"/>
  </r>
  <r>
    <x v="2"/>
    <x v="5"/>
    <s v=""/>
    <s v="211705"/>
    <x v="1"/>
    <n v="3715.7099999999991"/>
  </r>
  <r>
    <x v="2"/>
    <x v="19"/>
    <s v=""/>
    <s v="112820"/>
    <x v="1"/>
    <n v="295.42"/>
  </r>
  <r>
    <x v="2"/>
    <x v="9"/>
    <s v=""/>
    <s v="112821"/>
    <x v="1"/>
    <n v="2132.4"/>
  </r>
  <r>
    <x v="2"/>
    <x v="7"/>
    <s v=""/>
    <s v="211926"/>
    <x v="1"/>
    <n v="4970.13"/>
  </r>
  <r>
    <x v="2"/>
    <x v="3"/>
    <s v=""/>
    <s v="211301"/>
    <x v="1"/>
    <n v="61196.189999999988"/>
  </r>
  <r>
    <x v="2"/>
    <x v="15"/>
    <s v="331207"/>
    <s v="211402"/>
    <x v="0"/>
    <n v="5985.9400000000014"/>
  </r>
  <r>
    <x v="2"/>
    <x v="10"/>
    <s v="212301"/>
    <s v=""/>
    <x v="0"/>
    <n v="5399.88"/>
  </r>
  <r>
    <x v="2"/>
    <x v="6"/>
    <s v=""/>
    <s v="331201"/>
    <x v="1"/>
    <n v="4710.0499999999993"/>
  </r>
  <r>
    <x v="2"/>
    <x v="16"/>
    <s v=""/>
    <s v="331201"/>
    <x v="1"/>
    <n v="0.13"/>
  </r>
  <r>
    <x v="2"/>
    <x v="11"/>
    <s v=""/>
    <s v="331212"/>
    <x v="1"/>
    <n v="238.38"/>
  </r>
  <r>
    <x v="2"/>
    <x v="20"/>
    <s v="112916"/>
    <s v=""/>
    <x v="0"/>
    <n v="712.44999999999993"/>
  </r>
  <r>
    <x v="2"/>
    <x v="14"/>
    <s v=""/>
    <s v="112822"/>
    <x v="1"/>
    <n v="6991.67"/>
  </r>
  <r>
    <x v="2"/>
    <x v="21"/>
    <s v="212401"/>
    <s v=""/>
    <x v="0"/>
    <n v="3729.16"/>
  </r>
  <r>
    <x v="2"/>
    <x v="13"/>
    <s v="212401"/>
    <s v=""/>
    <x v="0"/>
    <n v="70.359999999999985"/>
  </r>
  <r>
    <x v="2"/>
    <x v="17"/>
    <s v=""/>
    <s v="331201"/>
    <x v="1"/>
    <n v="3628.55"/>
  </r>
  <r>
    <x v="3"/>
    <x v="0"/>
    <s v="331201"/>
    <s v=""/>
    <x v="0"/>
    <n v="152981.37999999998"/>
  </r>
  <r>
    <x v="3"/>
    <x v="1"/>
    <s v="331202"/>
    <s v=""/>
    <x v="0"/>
    <n v="13777.819999999996"/>
  </r>
  <r>
    <x v="3"/>
    <x v="8"/>
    <s v=""/>
    <s v="211407"/>
    <x v="1"/>
    <n v="457.2"/>
  </r>
  <r>
    <x v="3"/>
    <x v="2"/>
    <s v=""/>
    <s v="211415"/>
    <x v="1"/>
    <n v="13007.400000000001"/>
  </r>
  <r>
    <x v="3"/>
    <x v="9"/>
    <s v=""/>
    <s v="112821"/>
    <x v="1"/>
    <n v="2232.83"/>
  </r>
  <r>
    <x v="3"/>
    <x v="7"/>
    <s v=""/>
    <s v="211926"/>
    <x v="1"/>
    <n v="17999.159999999996"/>
  </r>
  <r>
    <x v="3"/>
    <x v="3"/>
    <s v=""/>
    <s v="211301"/>
    <x v="1"/>
    <n v="104421.13000000003"/>
  </r>
  <r>
    <x v="3"/>
    <x v="15"/>
    <s v="331207"/>
    <s v="211402"/>
    <x v="0"/>
    <n v="12024.549999999996"/>
  </r>
  <r>
    <x v="3"/>
    <x v="11"/>
    <s v=""/>
    <s v="331212"/>
    <x v="1"/>
    <n v="885.04999999999984"/>
  </r>
  <r>
    <x v="3"/>
    <x v="5"/>
    <s v=""/>
    <s v="211705"/>
    <x v="1"/>
    <n v="10486.88"/>
  </r>
  <r>
    <x v="3"/>
    <x v="6"/>
    <s v=""/>
    <s v="331201"/>
    <x v="1"/>
    <n v="18991.589999999997"/>
  </r>
  <r>
    <x v="3"/>
    <x v="20"/>
    <s v="112916"/>
    <s v=""/>
    <x v="0"/>
    <n v="5749.119999999999"/>
  </r>
  <r>
    <x v="3"/>
    <x v="22"/>
    <s v=""/>
    <s v="331201"/>
    <x v="1"/>
    <n v="1616.77"/>
  </r>
  <r>
    <x v="3"/>
    <x v="10"/>
    <s v="212301"/>
    <s v=""/>
    <x v="0"/>
    <n v="17684.599999999999"/>
  </r>
  <r>
    <x v="3"/>
    <x v="12"/>
    <s v=""/>
    <s v="112823"/>
    <x v="1"/>
    <n v="7344.85"/>
  </r>
  <r>
    <x v="3"/>
    <x v="13"/>
    <s v="212401"/>
    <s v=""/>
    <x v="0"/>
    <n v="4647.16"/>
  </r>
  <r>
    <x v="3"/>
    <x v="14"/>
    <s v=""/>
    <s v="112822"/>
    <x v="1"/>
    <n v="12836.560000000001"/>
  </r>
  <r>
    <x v="3"/>
    <x v="23"/>
    <s v="212401"/>
    <s v=""/>
    <x v="0"/>
    <n v="255.10000000000002"/>
  </r>
  <r>
    <x v="3"/>
    <x v="17"/>
    <s v=""/>
    <s v="331201"/>
    <x v="1"/>
    <n v="4040.09"/>
  </r>
  <r>
    <x v="3"/>
    <x v="24"/>
    <s v=""/>
    <s v="331219"/>
    <x v="1"/>
    <n v="775.67"/>
  </r>
  <r>
    <x v="4"/>
    <x v="8"/>
    <s v=""/>
    <s v="211407"/>
    <x v="1"/>
    <n v="2065.2799999999997"/>
  </r>
  <r>
    <x v="4"/>
    <x v="2"/>
    <s v=""/>
    <s v="211415"/>
    <x v="1"/>
    <n v="10870.880000000001"/>
  </r>
  <r>
    <x v="4"/>
    <x v="5"/>
    <s v=""/>
    <s v="211705"/>
    <x v="1"/>
    <n v="15006.03"/>
  </r>
  <r>
    <x v="4"/>
    <x v="25"/>
    <s v="331101"/>
    <s v=""/>
    <x v="0"/>
    <n v="15572.04"/>
  </r>
  <r>
    <x v="4"/>
    <x v="3"/>
    <s v=""/>
    <s v="211301"/>
    <x v="1"/>
    <n v="90242.590000000011"/>
  </r>
  <r>
    <x v="4"/>
    <x v="9"/>
    <s v=""/>
    <s v="112821"/>
    <x v="1"/>
    <n v="764.84999999999991"/>
  </r>
  <r>
    <x v="4"/>
    <x v="0"/>
    <s v="331201"/>
    <s v=""/>
    <x v="0"/>
    <n v="122369.76000000001"/>
  </r>
  <r>
    <x v="4"/>
    <x v="6"/>
    <s v=""/>
    <s v="331201"/>
    <x v="1"/>
    <n v="19302.7"/>
  </r>
  <r>
    <x v="4"/>
    <x v="16"/>
    <s v=""/>
    <s v="331201"/>
    <x v="1"/>
    <n v="1302.4999999999998"/>
  </r>
  <r>
    <x v="4"/>
    <x v="1"/>
    <s v="331202"/>
    <s v=""/>
    <x v="0"/>
    <n v="10828.99"/>
  </r>
  <r>
    <x v="4"/>
    <x v="7"/>
    <s v=""/>
    <s v="211926"/>
    <x v="1"/>
    <n v="8831.3900000000012"/>
  </r>
  <r>
    <x v="4"/>
    <x v="15"/>
    <s v="331207"/>
    <s v="211402"/>
    <x v="0"/>
    <n v="8780.7000000000007"/>
  </r>
  <r>
    <x v="4"/>
    <x v="20"/>
    <s v="112916"/>
    <s v=""/>
    <x v="0"/>
    <n v="2369.5399999999995"/>
  </r>
  <r>
    <x v="4"/>
    <x v="11"/>
    <s v=""/>
    <s v="331212"/>
    <x v="1"/>
    <n v="821.21999999999991"/>
  </r>
  <r>
    <x v="4"/>
    <x v="10"/>
    <s v="212301"/>
    <s v=""/>
    <x v="0"/>
    <n v="2439.6099999999997"/>
  </r>
  <r>
    <x v="4"/>
    <x v="26"/>
    <s v="331203"/>
    <s v=""/>
    <x v="0"/>
    <n v="1.85"/>
  </r>
  <r>
    <x v="4"/>
    <x v="22"/>
    <s v=""/>
    <s v="331201"/>
    <x v="1"/>
    <n v="980.35"/>
  </r>
  <r>
    <x v="4"/>
    <x v="12"/>
    <s v=""/>
    <s v="112823"/>
    <x v="1"/>
    <n v="1338.15"/>
  </r>
  <r>
    <x v="4"/>
    <x v="13"/>
    <s v="212401"/>
    <s v=""/>
    <x v="0"/>
    <n v="298.33999999999997"/>
  </r>
  <r>
    <x v="4"/>
    <x v="24"/>
    <s v=""/>
    <s v="331219"/>
    <x v="1"/>
    <n v="1790"/>
  </r>
  <r>
    <x v="4"/>
    <x v="14"/>
    <s v=""/>
    <s v="112822"/>
    <x v="1"/>
    <n v="564.19000000000005"/>
  </r>
  <r>
    <x v="5"/>
    <x v="0"/>
    <s v="331201"/>
    <s v=""/>
    <x v="0"/>
    <n v="105843.72000000003"/>
  </r>
  <r>
    <x v="5"/>
    <x v="1"/>
    <s v="331202"/>
    <s v=""/>
    <x v="0"/>
    <n v="8602.7700000000023"/>
  </r>
  <r>
    <x v="5"/>
    <x v="2"/>
    <s v=""/>
    <s v="211415"/>
    <x v="1"/>
    <n v="8475.3600000000024"/>
  </r>
  <r>
    <x v="5"/>
    <x v="9"/>
    <s v=""/>
    <s v="112821"/>
    <x v="1"/>
    <n v="1041.96"/>
  </r>
  <r>
    <x v="5"/>
    <x v="10"/>
    <s v="212301"/>
    <s v=""/>
    <x v="0"/>
    <n v="6704.2000000000007"/>
  </r>
  <r>
    <x v="5"/>
    <x v="3"/>
    <s v=""/>
    <s v="211301"/>
    <x v="1"/>
    <n v="72782.189999999988"/>
  </r>
  <r>
    <x v="5"/>
    <x v="15"/>
    <s v="331207"/>
    <s v="211402"/>
    <x v="0"/>
    <n v="8275.77"/>
  </r>
  <r>
    <x v="5"/>
    <x v="6"/>
    <s v=""/>
    <s v="331201"/>
    <x v="1"/>
    <n v="11485.049999999996"/>
  </r>
  <r>
    <x v="5"/>
    <x v="16"/>
    <s v=""/>
    <s v="331201"/>
    <x v="1"/>
    <n v="1295.8800000000001"/>
  </r>
  <r>
    <x v="5"/>
    <x v="11"/>
    <s v=""/>
    <s v="331212"/>
    <x v="1"/>
    <n v="2347.5600000000004"/>
  </r>
  <r>
    <x v="5"/>
    <x v="5"/>
    <s v=""/>
    <s v="211705"/>
    <x v="1"/>
    <n v="7580.0399999999991"/>
  </r>
  <r>
    <x v="5"/>
    <x v="7"/>
    <s v=""/>
    <s v="211926"/>
    <x v="1"/>
    <n v="8828.9699999999975"/>
  </r>
  <r>
    <x v="5"/>
    <x v="8"/>
    <s v=""/>
    <s v="211407"/>
    <x v="1"/>
    <n v="2.29"/>
  </r>
  <r>
    <x v="5"/>
    <x v="20"/>
    <s v="112916"/>
    <s v=""/>
    <x v="0"/>
    <n v="956.93000000000006"/>
  </r>
  <r>
    <x v="5"/>
    <x v="22"/>
    <s v=""/>
    <s v="331201"/>
    <x v="1"/>
    <n v="1821.29"/>
  </r>
  <r>
    <x v="5"/>
    <x v="12"/>
    <s v=""/>
    <s v="112823"/>
    <x v="1"/>
    <n v="4872.3599999999997"/>
  </r>
  <r>
    <x v="5"/>
    <x v="13"/>
    <s v="212401"/>
    <s v=""/>
    <x v="0"/>
    <n v="546.94000000000005"/>
  </r>
  <r>
    <x v="5"/>
    <x v="14"/>
    <s v=""/>
    <s v="112822"/>
    <x v="1"/>
    <n v="331.61"/>
  </r>
  <r>
    <x v="5"/>
    <x v="17"/>
    <s v=""/>
    <s v="331201"/>
    <x v="1"/>
    <n v="1790"/>
  </r>
  <r>
    <x v="6"/>
    <x v="3"/>
    <s v=""/>
    <s v="211301"/>
    <x v="1"/>
    <n v="51707.260000000017"/>
  </r>
  <r>
    <x v="6"/>
    <x v="0"/>
    <s v="331201"/>
    <s v=""/>
    <x v="0"/>
    <n v="71251.210000000006"/>
  </r>
  <r>
    <x v="6"/>
    <x v="1"/>
    <s v="331202"/>
    <s v=""/>
    <x v="0"/>
    <n v="5796.4"/>
  </r>
  <r>
    <x v="6"/>
    <x v="2"/>
    <s v=""/>
    <s v="211415"/>
    <x v="1"/>
    <n v="6555.5200000000013"/>
  </r>
  <r>
    <x v="6"/>
    <x v="5"/>
    <s v=""/>
    <s v="211705"/>
    <x v="1"/>
    <n v="4624.42"/>
  </r>
  <r>
    <x v="6"/>
    <x v="15"/>
    <s v="331207"/>
    <s v="211402"/>
    <x v="0"/>
    <n v="5932.5799999999981"/>
  </r>
  <r>
    <x v="6"/>
    <x v="18"/>
    <s v=""/>
    <s v="211306"/>
    <x v="1"/>
    <n v="405.25"/>
  </r>
  <r>
    <x v="6"/>
    <x v="11"/>
    <s v=""/>
    <s v="331212"/>
    <x v="1"/>
    <n v="919.68999999999994"/>
  </r>
  <r>
    <x v="6"/>
    <x v="9"/>
    <s v=""/>
    <s v="112821"/>
    <x v="1"/>
    <n v="635.74"/>
  </r>
  <r>
    <x v="6"/>
    <x v="7"/>
    <s v=""/>
    <s v="211926"/>
    <x v="1"/>
    <n v="7775.6100000000015"/>
  </r>
  <r>
    <x v="6"/>
    <x v="10"/>
    <s v="212301"/>
    <s v=""/>
    <x v="0"/>
    <n v="12103.7"/>
  </r>
  <r>
    <x v="6"/>
    <x v="6"/>
    <s v=""/>
    <s v="331201"/>
    <x v="1"/>
    <n v="5002.3099999999995"/>
  </r>
  <r>
    <x v="6"/>
    <x v="16"/>
    <s v=""/>
    <s v="331201"/>
    <x v="1"/>
    <n v="350.68"/>
  </r>
  <r>
    <x v="6"/>
    <x v="20"/>
    <s v="112916"/>
    <s v=""/>
    <x v="0"/>
    <n v="675.40000000000009"/>
  </r>
  <r>
    <x v="6"/>
    <x v="12"/>
    <s v=""/>
    <s v="112823"/>
    <x v="1"/>
    <n v="7439.37"/>
  </r>
  <r>
    <x v="6"/>
    <x v="13"/>
    <s v="212401"/>
    <s v=""/>
    <x v="0"/>
    <n v="2477.08"/>
  </r>
  <r>
    <x v="6"/>
    <x v="14"/>
    <s v=""/>
    <s v="112822"/>
    <x v="1"/>
    <n v="1362.9399999999998"/>
  </r>
  <r>
    <x v="6"/>
    <x v="17"/>
    <s v=""/>
    <s v="331201"/>
    <x v="1"/>
    <n v="5525"/>
  </r>
  <r>
    <x v="7"/>
    <x v="0"/>
    <s v="331201"/>
    <s v=""/>
    <x v="0"/>
    <n v="113965.68999999997"/>
  </r>
  <r>
    <x v="7"/>
    <x v="1"/>
    <s v="331202"/>
    <s v=""/>
    <x v="0"/>
    <n v="10079.909999999998"/>
  </r>
  <r>
    <x v="7"/>
    <x v="2"/>
    <s v=""/>
    <s v="211415"/>
    <x v="1"/>
    <n v="9881.4900000000052"/>
  </r>
  <r>
    <x v="7"/>
    <x v="5"/>
    <s v=""/>
    <s v="211705"/>
    <x v="1"/>
    <n v="7684.42"/>
  </r>
  <r>
    <x v="7"/>
    <x v="9"/>
    <s v=""/>
    <s v="112821"/>
    <x v="1"/>
    <n v="1241.22"/>
  </r>
  <r>
    <x v="7"/>
    <x v="7"/>
    <s v=""/>
    <s v="211926"/>
    <x v="1"/>
    <n v="7298.48"/>
  </r>
  <r>
    <x v="7"/>
    <x v="3"/>
    <s v=""/>
    <s v="211301"/>
    <x v="1"/>
    <n v="87952.21"/>
  </r>
  <r>
    <x v="7"/>
    <x v="15"/>
    <s v="331207"/>
    <s v="211402"/>
    <x v="0"/>
    <n v="9457.0399999999991"/>
  </r>
  <r>
    <x v="7"/>
    <x v="6"/>
    <s v=""/>
    <s v="331201"/>
    <x v="1"/>
    <n v="8592.3999999999978"/>
  </r>
  <r>
    <x v="7"/>
    <x v="16"/>
    <s v=""/>
    <s v="331201"/>
    <x v="1"/>
    <n v="27.19"/>
  </r>
  <r>
    <x v="7"/>
    <x v="11"/>
    <s v=""/>
    <s v="331212"/>
    <x v="1"/>
    <n v="2195.4599999999996"/>
  </r>
  <r>
    <x v="7"/>
    <x v="20"/>
    <s v="112916"/>
    <s v=""/>
    <x v="0"/>
    <n v="98.04"/>
  </r>
  <r>
    <x v="7"/>
    <x v="10"/>
    <s v="212301"/>
    <s v=""/>
    <x v="0"/>
    <n v="11470.12"/>
  </r>
  <r>
    <x v="7"/>
    <x v="12"/>
    <s v=""/>
    <s v="112823"/>
    <x v="1"/>
    <n v="5099.03"/>
  </r>
  <r>
    <x v="7"/>
    <x v="13"/>
    <s v="212401"/>
    <s v=""/>
    <x v="0"/>
    <n v="3549.8900000000003"/>
  </r>
  <r>
    <x v="7"/>
    <x v="14"/>
    <s v=""/>
    <s v="112822"/>
    <x v="1"/>
    <n v="6640.05"/>
  </r>
  <r>
    <x v="7"/>
    <x v="27"/>
    <s v="212401"/>
    <s v=""/>
    <x v="0"/>
    <n v="258.43"/>
  </r>
  <r>
    <x v="7"/>
    <x v="17"/>
    <s v=""/>
    <s v="331201"/>
    <x v="1"/>
    <n v="2810.13"/>
  </r>
  <r>
    <x v="8"/>
    <x v="0"/>
    <s v="331201"/>
    <s v=""/>
    <x v="0"/>
    <n v="94009.919999999969"/>
  </r>
  <r>
    <x v="8"/>
    <x v="1"/>
    <s v="331202"/>
    <s v=""/>
    <x v="0"/>
    <n v="12108.390000000001"/>
  </r>
  <r>
    <x v="8"/>
    <x v="2"/>
    <s v=""/>
    <s v="211415"/>
    <x v="1"/>
    <n v="8628.0999999999985"/>
  </r>
  <r>
    <x v="8"/>
    <x v="5"/>
    <s v=""/>
    <s v="211705"/>
    <x v="1"/>
    <n v="6567.1199999999981"/>
  </r>
  <r>
    <x v="8"/>
    <x v="9"/>
    <s v=""/>
    <s v="112821"/>
    <x v="1"/>
    <n v="458.02"/>
  </r>
  <r>
    <x v="8"/>
    <x v="10"/>
    <s v="212301"/>
    <s v=""/>
    <x v="0"/>
    <n v="6949.5700000000006"/>
  </r>
  <r>
    <x v="8"/>
    <x v="7"/>
    <s v=""/>
    <s v="211926"/>
    <x v="1"/>
    <n v="8591.1600000000017"/>
  </r>
  <r>
    <x v="8"/>
    <x v="3"/>
    <s v=""/>
    <s v="211301"/>
    <x v="1"/>
    <n v="73235.59"/>
  </r>
  <r>
    <x v="8"/>
    <x v="15"/>
    <s v="331207"/>
    <s v="211402"/>
    <x v="0"/>
    <n v="7912.1000000000013"/>
  </r>
  <r>
    <x v="8"/>
    <x v="11"/>
    <s v=""/>
    <s v="331212"/>
    <x v="1"/>
    <n v="1631.4000000000005"/>
  </r>
  <r>
    <x v="8"/>
    <x v="6"/>
    <s v=""/>
    <s v="331201"/>
    <x v="1"/>
    <n v="6147.25"/>
  </r>
  <r>
    <x v="8"/>
    <x v="20"/>
    <s v="112916"/>
    <s v=""/>
    <x v="0"/>
    <n v="213.51"/>
  </r>
  <r>
    <x v="8"/>
    <x v="8"/>
    <s v=""/>
    <s v="211407"/>
    <x v="1"/>
    <n v="32.130000000000003"/>
  </r>
  <r>
    <x v="8"/>
    <x v="12"/>
    <s v=""/>
    <s v="112823"/>
    <x v="1"/>
    <n v="4148.8900000000003"/>
  </r>
  <r>
    <x v="8"/>
    <x v="13"/>
    <s v="212401"/>
    <s v=""/>
    <x v="0"/>
    <n v="1264.5999999999999"/>
  </r>
  <r>
    <x v="8"/>
    <x v="14"/>
    <s v=""/>
    <s v="112822"/>
    <x v="1"/>
    <n v="2506.96"/>
  </r>
  <r>
    <x v="8"/>
    <x v="24"/>
    <s v=""/>
    <s v="331219"/>
    <x v="1"/>
    <n v="2599.37"/>
  </r>
  <r>
    <x v="9"/>
    <x v="0"/>
    <s v="331201"/>
    <s v=""/>
    <x v="0"/>
    <n v="142944.90000000002"/>
  </r>
  <r>
    <x v="9"/>
    <x v="1"/>
    <s v="331202"/>
    <s v=""/>
    <x v="0"/>
    <n v="12760.91"/>
  </r>
  <r>
    <x v="9"/>
    <x v="2"/>
    <s v=""/>
    <s v="211415"/>
    <x v="1"/>
    <n v="11705.700000000004"/>
  </r>
  <r>
    <x v="9"/>
    <x v="5"/>
    <s v=""/>
    <s v="211705"/>
    <x v="1"/>
    <n v="9917.4"/>
  </r>
  <r>
    <x v="9"/>
    <x v="3"/>
    <s v=""/>
    <s v="211301"/>
    <x v="1"/>
    <n v="106988.10999999996"/>
  </r>
  <r>
    <x v="9"/>
    <x v="15"/>
    <s v="331207"/>
    <s v="211402"/>
    <x v="0"/>
    <n v="10866.049999999997"/>
  </r>
  <r>
    <x v="9"/>
    <x v="6"/>
    <s v=""/>
    <s v="331201"/>
    <x v="1"/>
    <n v="13797.549999999997"/>
  </r>
  <r>
    <x v="9"/>
    <x v="7"/>
    <s v=""/>
    <s v="211926"/>
    <x v="1"/>
    <n v="8923.619999999999"/>
  </r>
  <r>
    <x v="9"/>
    <x v="20"/>
    <s v="112916"/>
    <s v=""/>
    <x v="0"/>
    <n v="623.11"/>
  </r>
  <r>
    <x v="9"/>
    <x v="9"/>
    <s v=""/>
    <s v="112821"/>
    <x v="1"/>
    <n v="867.88"/>
  </r>
  <r>
    <x v="9"/>
    <x v="8"/>
    <s v=""/>
    <s v="211407"/>
    <x v="1"/>
    <n v="424.35"/>
  </r>
  <r>
    <x v="9"/>
    <x v="11"/>
    <s v=""/>
    <s v="331212"/>
    <x v="1"/>
    <n v="700.55"/>
  </r>
  <r>
    <x v="9"/>
    <x v="16"/>
    <s v=""/>
    <s v="331201"/>
    <x v="1"/>
    <n v="421.67"/>
  </r>
  <r>
    <x v="9"/>
    <x v="10"/>
    <s v="212301"/>
    <s v=""/>
    <x v="0"/>
    <n v="7152.82"/>
  </r>
  <r>
    <x v="9"/>
    <x v="12"/>
    <s v=""/>
    <s v="112823"/>
    <x v="1"/>
    <n v="3786.88"/>
  </r>
  <r>
    <x v="9"/>
    <x v="24"/>
    <s v=""/>
    <s v="331219"/>
    <x v="1"/>
    <n v="1374.15"/>
  </r>
  <r>
    <x v="9"/>
    <x v="28"/>
    <s v="212401"/>
    <s v=""/>
    <x v="0"/>
    <n v="2135.5199999999995"/>
  </r>
  <r>
    <x v="9"/>
    <x v="14"/>
    <s v=""/>
    <s v="112822"/>
    <x v="1"/>
    <n v="6709.4000000000005"/>
  </r>
  <r>
    <x v="10"/>
    <x v="0"/>
    <s v="331201"/>
    <s v=""/>
    <x v="0"/>
    <n v="117408.95000000003"/>
  </r>
  <r>
    <x v="10"/>
    <x v="1"/>
    <s v="331202"/>
    <s v=""/>
    <x v="0"/>
    <n v="10919.499999999995"/>
  </r>
  <r>
    <x v="10"/>
    <x v="2"/>
    <s v=""/>
    <s v="211415"/>
    <x v="1"/>
    <n v="11210.540000000003"/>
  </r>
  <r>
    <x v="10"/>
    <x v="7"/>
    <s v=""/>
    <s v="211926"/>
    <x v="1"/>
    <n v="11532.709999999997"/>
  </r>
  <r>
    <x v="10"/>
    <x v="3"/>
    <s v=""/>
    <s v="211301"/>
    <x v="1"/>
    <n v="90325.879999999946"/>
  </r>
  <r>
    <x v="10"/>
    <x v="29"/>
    <s v="331207"/>
    <s v="211402"/>
    <x v="0"/>
    <n v="9382.9699999999957"/>
  </r>
  <r>
    <x v="10"/>
    <x v="5"/>
    <s v=""/>
    <s v="211705"/>
    <x v="1"/>
    <n v="5969.0199999999977"/>
  </r>
  <r>
    <x v="10"/>
    <x v="6"/>
    <s v=""/>
    <s v="331201"/>
    <x v="1"/>
    <n v="6287.4899999999971"/>
  </r>
  <r>
    <x v="10"/>
    <x v="16"/>
    <s v=""/>
    <s v="331201"/>
    <x v="1"/>
    <n v="0.51"/>
  </r>
  <r>
    <x v="10"/>
    <x v="20"/>
    <s v="112916"/>
    <s v=""/>
    <x v="0"/>
    <n v="7396.7099999999991"/>
  </r>
  <r>
    <x v="10"/>
    <x v="8"/>
    <s v=""/>
    <s v="211407"/>
    <x v="1"/>
    <n v="863.8"/>
  </r>
  <r>
    <x v="10"/>
    <x v="10"/>
    <s v="212301"/>
    <s v=""/>
    <x v="0"/>
    <n v="15458.820000000002"/>
  </r>
  <r>
    <x v="10"/>
    <x v="11"/>
    <s v=""/>
    <s v="331212"/>
    <x v="1"/>
    <n v="583.49"/>
  </r>
  <r>
    <x v="10"/>
    <x v="9"/>
    <s v=""/>
    <s v="112821"/>
    <x v="1"/>
    <n v="167.37"/>
  </r>
  <r>
    <x v="10"/>
    <x v="12"/>
    <s v=""/>
    <s v="112823"/>
    <x v="1"/>
    <n v="5306.98"/>
  </r>
  <r>
    <x v="10"/>
    <x v="13"/>
    <s v="212401"/>
    <s v=""/>
    <x v="0"/>
    <n v="5614.62"/>
  </r>
  <r>
    <x v="10"/>
    <x v="14"/>
    <s v=""/>
    <s v="112822"/>
    <x v="1"/>
    <n v="25802.21"/>
  </r>
  <r>
    <x v="10"/>
    <x v="24"/>
    <s v=""/>
    <s v="331219"/>
    <x v="1"/>
    <n v="1427.3400000000001"/>
  </r>
  <r>
    <x v="10"/>
    <x v="30"/>
    <s v="331204"/>
    <s v=""/>
    <x v="0"/>
    <n v="165.52"/>
  </r>
  <r>
    <x v="10"/>
    <x v="26"/>
    <s v="331203"/>
    <s v=""/>
    <x v="0"/>
    <n v="218.4"/>
  </r>
  <r>
    <x v="10"/>
    <x v="31"/>
    <s v="331210"/>
    <s v=""/>
    <x v="0"/>
    <n v="2555.35"/>
  </r>
  <r>
    <x v="10"/>
    <x v="17"/>
    <s v=""/>
    <s v="331201"/>
    <x v="1"/>
    <n v="260.52999999999997"/>
  </r>
  <r>
    <x v="11"/>
    <x v="0"/>
    <s v="331201"/>
    <s v=""/>
    <x v="0"/>
    <n v="224671.62"/>
  </r>
  <r>
    <x v="11"/>
    <x v="1"/>
    <s v="331202"/>
    <s v=""/>
    <x v="0"/>
    <n v="18446.800000000003"/>
  </r>
  <r>
    <x v="11"/>
    <x v="2"/>
    <s v=""/>
    <s v="211415"/>
    <x v="1"/>
    <n v="24709.810000000009"/>
  </r>
  <r>
    <x v="11"/>
    <x v="3"/>
    <s v=""/>
    <s v="211301"/>
    <x v="1"/>
    <n v="181787.22000000003"/>
  </r>
  <r>
    <x v="11"/>
    <x v="15"/>
    <s v="331207"/>
    <s v="211402"/>
    <x v="0"/>
    <n v="20890.980000000003"/>
  </r>
  <r>
    <x v="11"/>
    <x v="5"/>
    <s v=""/>
    <s v="211705"/>
    <x v="1"/>
    <n v="6509.62"/>
  </r>
  <r>
    <x v="11"/>
    <x v="9"/>
    <s v=""/>
    <s v="112821"/>
    <x v="1"/>
    <n v="4135.7499999999991"/>
  </r>
  <r>
    <x v="11"/>
    <x v="11"/>
    <s v=""/>
    <s v="331212"/>
    <x v="1"/>
    <n v="834.65999999999974"/>
  </r>
  <r>
    <x v="11"/>
    <x v="7"/>
    <s v=""/>
    <s v="211926"/>
    <x v="1"/>
    <n v="18563.23"/>
  </r>
  <r>
    <x v="11"/>
    <x v="8"/>
    <s v=""/>
    <s v="211407"/>
    <x v="1"/>
    <n v="8008.6299999999992"/>
  </r>
  <r>
    <x v="11"/>
    <x v="16"/>
    <s v=""/>
    <s v="331201"/>
    <x v="1"/>
    <n v="111.5"/>
  </r>
  <r>
    <x v="11"/>
    <x v="10"/>
    <s v="212301"/>
    <s v=""/>
    <x v="0"/>
    <n v="25178.27"/>
  </r>
  <r>
    <x v="11"/>
    <x v="18"/>
    <s v=""/>
    <s v="211306"/>
    <x v="1"/>
    <n v="729.45"/>
  </r>
  <r>
    <x v="11"/>
    <x v="24"/>
    <s v=""/>
    <s v="331219"/>
    <x v="1"/>
    <n v="2976.5299999999997"/>
  </r>
  <r>
    <x v="11"/>
    <x v="6"/>
    <s v=""/>
    <s v="331201"/>
    <x v="1"/>
    <n v="1759.44"/>
  </r>
  <r>
    <x v="11"/>
    <x v="20"/>
    <s v="112916"/>
    <s v=""/>
    <x v="0"/>
    <n v="2808.62"/>
  </r>
  <r>
    <x v="11"/>
    <x v="12"/>
    <s v=""/>
    <s v="112823"/>
    <x v="1"/>
    <n v="15665.42"/>
  </r>
  <r>
    <x v="11"/>
    <x v="30"/>
    <s v="331204"/>
    <s v=""/>
    <x v="0"/>
    <n v="231.43"/>
  </r>
  <r>
    <x v="11"/>
    <x v="13"/>
    <s v="212401"/>
    <s v=""/>
    <x v="0"/>
    <n v="1769.19"/>
  </r>
  <r>
    <x v="11"/>
    <x v="31"/>
    <s v="331210"/>
    <s v=""/>
    <x v="0"/>
    <n v="1388.59"/>
  </r>
  <r>
    <x v="11"/>
    <x v="14"/>
    <s v=""/>
    <s v="112822"/>
    <x v="1"/>
    <n v="8703.26"/>
  </r>
  <r>
    <x v="12"/>
    <x v="0"/>
    <s v="331201"/>
    <s v=""/>
    <x v="0"/>
    <n v="142860.41999999998"/>
  </r>
  <r>
    <x v="12"/>
    <x v="1"/>
    <s v="331202"/>
    <s v=""/>
    <x v="0"/>
    <n v="16737.009999999998"/>
  </r>
  <r>
    <x v="12"/>
    <x v="2"/>
    <s v=""/>
    <s v="211415"/>
    <x v="1"/>
    <n v="12304.080000000004"/>
  </r>
  <r>
    <x v="12"/>
    <x v="7"/>
    <s v=""/>
    <s v="211926"/>
    <x v="1"/>
    <n v="12400.860000000002"/>
  </r>
  <r>
    <x v="12"/>
    <x v="3"/>
    <s v=""/>
    <s v="211301"/>
    <x v="1"/>
    <n v="100239.4"/>
  </r>
  <r>
    <x v="12"/>
    <x v="15"/>
    <s v="331207"/>
    <s v="211402"/>
    <x v="0"/>
    <n v="11219.009999999997"/>
  </r>
  <r>
    <x v="12"/>
    <x v="11"/>
    <s v=""/>
    <s v="331212"/>
    <x v="1"/>
    <n v="803.01999999999975"/>
  </r>
  <r>
    <x v="12"/>
    <x v="5"/>
    <s v=""/>
    <s v="211705"/>
    <x v="1"/>
    <n v="9861.9800000000014"/>
  </r>
  <r>
    <x v="12"/>
    <x v="6"/>
    <s v=""/>
    <s v="331201"/>
    <x v="1"/>
    <n v="14276.779999999997"/>
  </r>
  <r>
    <x v="12"/>
    <x v="16"/>
    <s v=""/>
    <s v="331201"/>
    <x v="1"/>
    <n v="74.69"/>
  </r>
  <r>
    <x v="12"/>
    <x v="10"/>
    <s v="212301"/>
    <s v=""/>
    <x v="0"/>
    <n v="15556.510000000002"/>
  </r>
  <r>
    <x v="12"/>
    <x v="9"/>
    <s v=""/>
    <s v="112821"/>
    <x v="1"/>
    <n v="710.22"/>
  </r>
  <r>
    <x v="12"/>
    <x v="22"/>
    <s v=""/>
    <s v="331201"/>
    <x v="1"/>
    <n v="5685.77"/>
  </r>
  <r>
    <x v="12"/>
    <x v="20"/>
    <s v="112916"/>
    <s v=""/>
    <x v="0"/>
    <n v="2684.73"/>
  </r>
  <r>
    <x v="12"/>
    <x v="12"/>
    <s v=""/>
    <s v="112823"/>
    <x v="1"/>
    <n v="6182.63"/>
  </r>
  <r>
    <x v="12"/>
    <x v="13"/>
    <s v="212401"/>
    <s v=""/>
    <x v="0"/>
    <n v="5531.7000000000007"/>
  </r>
  <r>
    <x v="12"/>
    <x v="14"/>
    <s v=""/>
    <s v="112822"/>
    <x v="1"/>
    <n v="18380.97"/>
  </r>
  <r>
    <x v="12"/>
    <x v="24"/>
    <s v=""/>
    <s v="331219"/>
    <x v="1"/>
    <n v="900.23"/>
  </r>
  <r>
    <x v="12"/>
    <x v="30"/>
    <s v="331204"/>
    <s v=""/>
    <x v="0"/>
    <n v="179.66"/>
  </r>
  <r>
    <x v="12"/>
    <x v="31"/>
    <s v="331210"/>
    <s v=""/>
    <x v="0"/>
    <n v="215.6"/>
  </r>
  <r>
    <x v="12"/>
    <x v="17"/>
    <s v=""/>
    <s v="331201"/>
    <x v="1"/>
    <n v="1945"/>
  </r>
  <r>
    <x v="13"/>
    <x v="0"/>
    <s v="331201"/>
    <s v=""/>
    <x v="0"/>
    <n v="129214.77999999998"/>
  </r>
  <r>
    <x v="13"/>
    <x v="1"/>
    <s v="331202"/>
    <s v=""/>
    <x v="0"/>
    <n v="14737.960000000001"/>
  </r>
  <r>
    <x v="13"/>
    <x v="2"/>
    <s v=""/>
    <s v="211415"/>
    <x v="1"/>
    <n v="11869.080000000005"/>
  </r>
  <r>
    <x v="13"/>
    <x v="5"/>
    <s v=""/>
    <s v="211705"/>
    <x v="1"/>
    <n v="9492.68"/>
  </r>
  <r>
    <x v="13"/>
    <x v="7"/>
    <s v=""/>
    <s v="211926"/>
    <x v="1"/>
    <n v="12325.170000000002"/>
  </r>
  <r>
    <x v="13"/>
    <x v="3"/>
    <s v=""/>
    <s v="211301"/>
    <x v="1"/>
    <n v="106056.67"/>
  </r>
  <r>
    <x v="13"/>
    <x v="15"/>
    <s v="331207"/>
    <s v="211402"/>
    <x v="0"/>
    <n v="11776.779999999995"/>
  </r>
  <r>
    <x v="13"/>
    <x v="19"/>
    <s v=""/>
    <s v="112820"/>
    <x v="1"/>
    <n v="40"/>
  </r>
  <r>
    <x v="13"/>
    <x v="8"/>
    <s v=""/>
    <s v="211407"/>
    <x v="1"/>
    <n v="126.56"/>
  </r>
  <r>
    <x v="13"/>
    <x v="20"/>
    <s v="112916"/>
    <s v=""/>
    <x v="0"/>
    <n v="1283.26"/>
  </r>
  <r>
    <x v="13"/>
    <x v="6"/>
    <s v=""/>
    <s v="331201"/>
    <x v="1"/>
    <n v="4954.2099999999991"/>
  </r>
  <r>
    <x v="13"/>
    <x v="10"/>
    <s v="212301"/>
    <s v=""/>
    <x v="0"/>
    <n v="12417.210000000001"/>
  </r>
  <r>
    <x v="13"/>
    <x v="9"/>
    <s v=""/>
    <s v="112821"/>
    <x v="1"/>
    <n v="294"/>
  </r>
  <r>
    <x v="13"/>
    <x v="22"/>
    <s v=""/>
    <s v="331201"/>
    <x v="1"/>
    <n v="1819"/>
  </r>
  <r>
    <x v="13"/>
    <x v="11"/>
    <s v=""/>
    <s v="331212"/>
    <x v="1"/>
    <n v="768.38999999999987"/>
  </r>
  <r>
    <x v="13"/>
    <x v="12"/>
    <s v=""/>
    <s v="112823"/>
    <x v="1"/>
    <n v="9907.4500000000007"/>
  </r>
  <r>
    <x v="14"/>
    <x v="0"/>
    <s v="331201"/>
    <s v=""/>
    <x v="0"/>
    <n v="107393.72000000002"/>
  </r>
  <r>
    <x v="14"/>
    <x v="1"/>
    <s v="331202"/>
    <s v=""/>
    <x v="0"/>
    <n v="9976.3699999999972"/>
  </r>
  <r>
    <x v="14"/>
    <x v="8"/>
    <s v=""/>
    <s v="211407"/>
    <x v="1"/>
    <n v="569.45000000000005"/>
  </r>
  <r>
    <x v="14"/>
    <x v="2"/>
    <s v=""/>
    <s v="211415"/>
    <x v="1"/>
    <n v="9680.5800000000036"/>
  </r>
  <r>
    <x v="14"/>
    <x v="5"/>
    <s v=""/>
    <s v="211705"/>
    <x v="1"/>
    <n v="10305.739999999998"/>
  </r>
  <r>
    <x v="14"/>
    <x v="9"/>
    <s v=""/>
    <s v="112821"/>
    <x v="1"/>
    <n v="546.83000000000004"/>
  </r>
  <r>
    <x v="14"/>
    <x v="7"/>
    <s v=""/>
    <s v="211926"/>
    <x v="1"/>
    <n v="3922.87"/>
  </r>
  <r>
    <x v="14"/>
    <x v="3"/>
    <s v=""/>
    <s v="211301"/>
    <x v="1"/>
    <n v="85812.500000000015"/>
  </r>
  <r>
    <x v="14"/>
    <x v="15"/>
    <s v="331207"/>
    <s v="211402"/>
    <x v="0"/>
    <n v="8932.7099999999973"/>
  </r>
  <r>
    <x v="14"/>
    <x v="6"/>
    <s v=""/>
    <s v="331201"/>
    <x v="1"/>
    <n v="4488.6899999999996"/>
  </r>
  <r>
    <x v="14"/>
    <x v="10"/>
    <s v="212301"/>
    <s v=""/>
    <x v="0"/>
    <n v="5810.32"/>
  </r>
  <r>
    <x v="14"/>
    <x v="16"/>
    <s v=""/>
    <s v="331201"/>
    <x v="1"/>
    <n v="29.08"/>
  </r>
  <r>
    <x v="14"/>
    <x v="11"/>
    <s v=""/>
    <s v="331212"/>
    <x v="1"/>
    <n v="2343.83"/>
  </r>
  <r>
    <x v="14"/>
    <x v="20"/>
    <s v="112916"/>
    <s v=""/>
    <x v="0"/>
    <n v="806.12"/>
  </r>
  <r>
    <x v="14"/>
    <x v="12"/>
    <s v=""/>
    <s v="112823"/>
    <x v="1"/>
    <n v="3413.11"/>
  </r>
  <r>
    <x v="14"/>
    <x v="13"/>
    <s v="212401"/>
    <s v=""/>
    <x v="0"/>
    <n v="1635.76"/>
  </r>
  <r>
    <x v="14"/>
    <x v="14"/>
    <s v=""/>
    <s v="112822"/>
    <x v="1"/>
    <n v="2261.9899999999998"/>
  </r>
  <r>
    <x v="14"/>
    <x v="24"/>
    <s v=""/>
    <s v="331219"/>
    <x v="1"/>
    <n v="457.62"/>
  </r>
  <r>
    <x v="14"/>
    <x v="17"/>
    <s v=""/>
    <s v="331201"/>
    <x v="1"/>
    <n v="1790"/>
  </r>
  <r>
    <x v="15"/>
    <x v="0"/>
    <s v="331201"/>
    <s v=""/>
    <x v="0"/>
    <n v="116551.54999999997"/>
  </r>
  <r>
    <x v="15"/>
    <x v="1"/>
    <s v="331202"/>
    <s v=""/>
    <x v="0"/>
    <n v="9680.7999999999993"/>
  </r>
  <r>
    <x v="15"/>
    <x v="2"/>
    <s v=""/>
    <s v="211415"/>
    <x v="1"/>
    <n v="9789.34"/>
  </r>
  <r>
    <x v="15"/>
    <x v="11"/>
    <s v=""/>
    <s v="331212"/>
    <x v="1"/>
    <n v="1721.0600000000002"/>
  </r>
  <r>
    <x v="15"/>
    <x v="5"/>
    <s v=""/>
    <s v="211705"/>
    <x v="1"/>
    <n v="10117.939999999999"/>
  </r>
  <r>
    <x v="15"/>
    <x v="9"/>
    <s v=""/>
    <s v="112821"/>
    <x v="1"/>
    <n v="2724.01"/>
  </r>
  <r>
    <x v="15"/>
    <x v="3"/>
    <s v=""/>
    <s v="211301"/>
    <x v="1"/>
    <n v="87349.88"/>
  </r>
  <r>
    <x v="15"/>
    <x v="15"/>
    <s v="331207"/>
    <s v="211402"/>
    <x v="0"/>
    <n v="9091.6399999999958"/>
  </r>
  <r>
    <x v="15"/>
    <x v="6"/>
    <s v=""/>
    <s v="331201"/>
    <x v="1"/>
    <n v="5735.119999999999"/>
  </r>
  <r>
    <x v="15"/>
    <x v="7"/>
    <s v=""/>
    <s v="211926"/>
    <x v="1"/>
    <n v="6050.9900000000016"/>
  </r>
  <r>
    <x v="15"/>
    <x v="20"/>
    <s v="112916"/>
    <s v=""/>
    <x v="0"/>
    <n v="322.45000000000005"/>
  </r>
  <r>
    <x v="15"/>
    <x v="8"/>
    <s v=""/>
    <s v="211407"/>
    <x v="1"/>
    <n v="909.06"/>
  </r>
  <r>
    <x v="15"/>
    <x v="19"/>
    <s v=""/>
    <s v="112820"/>
    <x v="1"/>
    <n v="40"/>
  </r>
  <r>
    <x v="15"/>
    <x v="10"/>
    <s v="212301"/>
    <s v=""/>
    <x v="0"/>
    <n v="1016.75"/>
  </r>
  <r>
    <x v="15"/>
    <x v="13"/>
    <s v="212401"/>
    <s v=""/>
    <x v="0"/>
    <n v="681.9"/>
  </r>
  <r>
    <x v="15"/>
    <x v="14"/>
    <s v=""/>
    <s v="112822"/>
    <x v="1"/>
    <n v="657.44"/>
  </r>
  <r>
    <x v="15"/>
    <x v="17"/>
    <s v=""/>
    <s v="331201"/>
    <x v="1"/>
    <n v="1803.7"/>
  </r>
  <r>
    <x v="15"/>
    <x v="24"/>
    <s v=""/>
    <s v="331219"/>
    <x v="1"/>
    <n v="1354.91"/>
  </r>
  <r>
    <x v="16"/>
    <x v="0"/>
    <s v="331201"/>
    <s v=""/>
    <x v="0"/>
    <n v="73992.099999999933"/>
  </r>
  <r>
    <x v="16"/>
    <x v="2"/>
    <s v=""/>
    <s v="211415"/>
    <x v="1"/>
    <n v="5706.939999999996"/>
  </r>
  <r>
    <x v="16"/>
    <x v="9"/>
    <s v=""/>
    <s v="112821"/>
    <x v="1"/>
    <n v="766.72"/>
  </r>
  <r>
    <x v="16"/>
    <x v="3"/>
    <s v=""/>
    <s v="211301"/>
    <x v="1"/>
    <n v="64249.46"/>
  </r>
  <r>
    <x v="16"/>
    <x v="15"/>
    <s v="331207"/>
    <s v="211402"/>
    <x v="0"/>
    <n v="5779.369999999999"/>
  </r>
  <r>
    <x v="16"/>
    <x v="1"/>
    <s v="331202"/>
    <s v=""/>
    <x v="0"/>
    <n v="2158.6099999999997"/>
  </r>
  <r>
    <x v="16"/>
    <x v="8"/>
    <s v=""/>
    <s v="211407"/>
    <x v="1"/>
    <n v="85.52"/>
  </r>
  <r>
    <x v="16"/>
    <x v="5"/>
    <s v=""/>
    <s v="211705"/>
    <x v="1"/>
    <n v="1380"/>
  </r>
  <r>
    <x v="16"/>
    <x v="7"/>
    <s v=""/>
    <s v="211926"/>
    <x v="1"/>
    <n v="639.22"/>
  </r>
  <r>
    <x v="16"/>
    <x v="11"/>
    <s v=""/>
    <s v="331212"/>
    <x v="1"/>
    <n v="983.98000000000025"/>
  </r>
  <r>
    <x v="16"/>
    <x v="20"/>
    <s v="112916"/>
    <s v=""/>
    <x v="0"/>
    <n v="433.57000000000005"/>
  </r>
  <r>
    <x v="16"/>
    <x v="6"/>
    <s v=""/>
    <s v="331201"/>
    <x v="1"/>
    <n v="90.740000000000009"/>
  </r>
  <r>
    <x v="16"/>
    <x v="24"/>
    <s v=""/>
    <s v="331219"/>
    <x v="1"/>
    <n v="2681.7"/>
  </r>
  <r>
    <x v="0"/>
    <x v="4"/>
    <s v="331207"/>
    <s v=""/>
    <x v="1"/>
    <n v="14516.150000000009"/>
  </r>
  <r>
    <x v="1"/>
    <x v="15"/>
    <s v="331207"/>
    <s v=""/>
    <x v="1"/>
    <n v="5501.6399999999994"/>
  </r>
  <r>
    <x v="2"/>
    <x v="15"/>
    <s v="331207"/>
    <s v=""/>
    <x v="1"/>
    <n v="5985.9400000000014"/>
  </r>
  <r>
    <x v="3"/>
    <x v="15"/>
    <s v="331207"/>
    <s v=""/>
    <x v="1"/>
    <n v="12024.549999999996"/>
  </r>
  <r>
    <x v="4"/>
    <x v="15"/>
    <s v="331207"/>
    <s v=""/>
    <x v="1"/>
    <n v="8780.7000000000007"/>
  </r>
  <r>
    <x v="5"/>
    <x v="15"/>
    <s v="331207"/>
    <s v=""/>
    <x v="1"/>
    <n v="8275.77"/>
  </r>
  <r>
    <x v="6"/>
    <x v="15"/>
    <s v="331207"/>
    <s v=""/>
    <x v="1"/>
    <n v="5932.5799999999981"/>
  </r>
  <r>
    <x v="7"/>
    <x v="15"/>
    <s v="331207"/>
    <s v=""/>
    <x v="1"/>
    <n v="9457.0399999999991"/>
  </r>
  <r>
    <x v="8"/>
    <x v="15"/>
    <s v="331207"/>
    <s v=""/>
    <x v="1"/>
    <n v="7912.1000000000013"/>
  </r>
  <r>
    <x v="9"/>
    <x v="15"/>
    <s v="331207"/>
    <s v=""/>
    <x v="1"/>
    <n v="10866.049999999997"/>
  </r>
  <r>
    <x v="10"/>
    <x v="29"/>
    <s v="331207"/>
    <s v=""/>
    <x v="1"/>
    <n v="9382.9699999999957"/>
  </r>
  <r>
    <x v="11"/>
    <x v="15"/>
    <s v="331207"/>
    <s v=""/>
    <x v="1"/>
    <n v="20890.980000000003"/>
  </r>
  <r>
    <x v="12"/>
    <x v="15"/>
    <s v="331207"/>
    <s v=""/>
    <x v="1"/>
    <n v="11219.009999999997"/>
  </r>
  <r>
    <x v="13"/>
    <x v="15"/>
    <s v="331207"/>
    <s v=""/>
    <x v="1"/>
    <n v="11776.779999999995"/>
  </r>
  <r>
    <x v="14"/>
    <x v="15"/>
    <s v="331207"/>
    <s v=""/>
    <x v="1"/>
    <n v="8932.7099999999973"/>
  </r>
  <r>
    <x v="15"/>
    <x v="15"/>
    <s v="331207"/>
    <s v=""/>
    <x v="1"/>
    <n v="9091.6399999999958"/>
  </r>
  <r>
    <x v="16"/>
    <x v="15"/>
    <s v="331207"/>
    <s v=""/>
    <x v="1"/>
    <n v="5779.36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18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rowHeaderCaption="Descrição">
  <location ref="A3:C34" firstHeaderRow="1" firstDataRow="2" firstDataCol="1"/>
  <pivotFields count="6">
    <pivotField showAll="0">
      <items count="21">
        <item x="4"/>
        <item x="5"/>
        <item x="3"/>
        <item x="6"/>
        <item x="7"/>
        <item x="8"/>
        <item x="9"/>
        <item x="10"/>
        <item x="11"/>
        <item x="0"/>
        <item x="1"/>
        <item x="2"/>
        <item x="12"/>
        <item x="13"/>
        <item x="14"/>
        <item x="15"/>
        <item x="16"/>
        <item m="1" x="17"/>
        <item m="1" x="18"/>
        <item m="1" x="19"/>
        <item t="default"/>
      </items>
    </pivotField>
    <pivotField axis="axisRow" showAll="0">
      <items count="63">
        <item x="30"/>
        <item m="1" x="38"/>
        <item x="12"/>
        <item x="16"/>
        <item x="31"/>
        <item x="17"/>
        <item m="1" x="33"/>
        <item x="7"/>
        <item x="9"/>
        <item x="5"/>
        <item x="26"/>
        <item h="1" x="4"/>
        <item h="1" x="15"/>
        <item h="1" x="29"/>
        <item x="1"/>
        <item x="6"/>
        <item x="2"/>
        <item x="8"/>
        <item x="24"/>
        <item m="1" x="32"/>
        <item x="18"/>
        <item x="25"/>
        <item x="13"/>
        <item x="10"/>
        <item x="14"/>
        <item x="22"/>
        <item x="0"/>
        <item x="20"/>
        <item x="3"/>
        <item x="19"/>
        <item x="11"/>
        <item m="1" x="40"/>
        <item m="1" x="44"/>
        <item m="1" x="35"/>
        <item m="1" x="37"/>
        <item m="1" x="34"/>
        <item m="1" x="49"/>
        <item x="21"/>
        <item x="23"/>
        <item m="1" x="39"/>
        <item m="1" x="51"/>
        <item m="1" x="50"/>
        <item m="1" x="36"/>
        <item m="1" x="41"/>
        <item m="1" x="53"/>
        <item m="1" x="52"/>
        <item x="27"/>
        <item m="1" x="42"/>
        <item m="1" x="54"/>
        <item m="1" x="56"/>
        <item m="1" x="55"/>
        <item m="1" x="57"/>
        <item m="1" x="45"/>
        <item m="1" x="58"/>
        <item x="28"/>
        <item m="1" x="46"/>
        <item m="1" x="59"/>
        <item m="1" x="60"/>
        <item m="1" x="47"/>
        <item m="1" x="48"/>
        <item m="1" x="61"/>
        <item m="1" x="43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dataField="1" showAll="0"/>
  </pivotFields>
  <rowFields count="1">
    <field x="1"/>
  </rowFields>
  <rowItems count="30">
    <i>
      <x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7"/>
    </i>
    <i>
      <x v="38"/>
    </i>
    <i>
      <x v="46"/>
    </i>
    <i>
      <x v="54"/>
    </i>
    <i t="grand">
      <x/>
    </i>
  </rowItems>
  <colFields count="1">
    <field x="4"/>
  </colFields>
  <colItems count="2">
    <i>
      <x/>
    </i>
    <i>
      <x v="1"/>
    </i>
  </colItems>
  <dataFields count="1">
    <dataField name="Soma de Valor R$" fld="5" baseField="4" baseItem="0" numFmtId="164"/>
  </dataFields>
  <formats count="6">
    <format dxfId="70">
      <pivotArea outline="0" collapsedLevelsAreSubtotals="1" fieldPosition="0">
        <references count="1">
          <reference field="4" count="0" selected="0"/>
        </references>
      </pivotArea>
    </format>
    <format dxfId="69">
      <pivotArea field="4" type="button" dataOnly="0" labelOnly="1" outline="0" axis="axisCol" fieldPosition="0"/>
    </format>
    <format dxfId="68">
      <pivotArea type="topRight" dataOnly="0" labelOnly="1" outline="0" fieldPosition="0"/>
    </format>
    <format dxfId="67">
      <pivotArea dataOnly="0" labelOnly="1" fieldPosition="0">
        <references count="1">
          <reference field="4" count="0"/>
        </references>
      </pivotArea>
    </format>
    <format dxfId="66">
      <pivotArea field="4" grandRow="1" outline="0" collapsedLevelsAreSubtotals="1" axis="axisCol" fieldPosition="0">
        <references count="1">
          <reference field="4" count="1" selected="0">
            <x v="0"/>
          </reference>
        </references>
      </pivotArea>
    </format>
    <format dxfId="65">
      <pivotArea field="4" grandRow="1" outline="0" collapsedLevelsAreSubtotals="1" axis="axisCol" fieldPosition="0">
        <references count="1">
          <reference field="4" count="1" selected="0"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00000000-0016-0000-0100-000000000000}" autoFormatId="16" applyNumberFormats="0" applyBorderFormats="0" applyFontFormats="0" applyPatternFormats="0" applyAlignmentFormats="0" applyWidthHeightFormats="0">
  <queryTableRefresh nextId="47">
    <queryTableFields count="3">
      <queryTableField id="44" name="Lojas" tableColumnId="44"/>
      <queryTableField id="41" name="Personalizar.1" tableColumnId="41"/>
      <queryTableField id="42" name="Valor Calculado" tableColumnId="4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00000000-0016-0000-0200-000001000000}" autoFormatId="16" applyNumberFormats="0" applyBorderFormats="0" applyFontFormats="0" applyPatternFormats="0" applyAlignmentFormats="0" applyWidthHeightFormats="0">
  <queryTableRefresh nextId="10">
    <queryTableFields count="6">
      <queryTableField id="4" name="Loja" tableColumnId="4"/>
      <queryTableField id="1" name="Descrição" tableColumnId="5"/>
      <queryTableField id="5" name="Débito" tableColumnId="6"/>
      <queryTableField id="2" name="Crédito" tableColumnId="2"/>
      <queryTableField id="6" name="D/C" tableColumnId="7"/>
      <queryTableField id="8" name="Valor R$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ja" xr10:uid="{00000000-0013-0000-FFFF-FFFF01000000}" sourceName="Loja">
  <pivotTables>
    <pivotTable tabId="3" name="Tabela dinâmica1"/>
  </pivotTables>
  <data>
    <tabular pivotCacheId="672217653">
      <items count="20">
        <i x="4" s="1"/>
        <i x="5" s="1"/>
        <i x="3" s="1"/>
        <i x="6" s="1"/>
        <i x="7" s="1"/>
        <i x="8" s="1"/>
        <i x="9" s="1"/>
        <i x="10" s="1"/>
        <i x="11" s="1"/>
        <i x="0" s="1"/>
        <i x="1" s="1"/>
        <i x="2" s="1"/>
        <i x="12" s="1"/>
        <i x="13" s="1"/>
        <i x="14" s="1"/>
        <i x="15" s="1"/>
        <i x="16" s="1"/>
        <i x="17" s="1" nd="1"/>
        <i x="18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rição" xr10:uid="{00000000-0013-0000-FFFF-FFFF02000000}" sourceName="Descrição">
  <pivotTables>
    <pivotTable tabId="3" name="Tabela dinâmica1"/>
  </pivotTables>
  <data>
    <tabular pivotCacheId="672217653">
      <items count="62">
        <i x="21" s="1"/>
        <i x="28" s="1"/>
        <i x="30" s="1"/>
        <i x="27" s="1"/>
        <i x="23" s="1"/>
        <i x="12" s="1"/>
        <i x="16" s="1"/>
        <i x="31" s="1"/>
        <i x="17" s="1"/>
        <i x="7" s="1"/>
        <i x="9" s="1"/>
        <i x="5" s="1"/>
        <i x="26" s="1"/>
        <i x="4"/>
        <i x="15"/>
        <i x="29"/>
        <i x="1" s="1"/>
        <i x="6" s="1"/>
        <i x="2" s="1"/>
        <i x="8" s="1"/>
        <i x="24" s="1"/>
        <i x="18" s="1"/>
        <i x="25" s="1"/>
        <i x="13" s="1"/>
        <i x="10" s="1"/>
        <i x="14" s="1"/>
        <i x="22" s="1"/>
        <i x="0" s="1"/>
        <i x="20" s="1"/>
        <i x="3" s="1"/>
        <i x="19" s="1"/>
        <i x="11" s="1"/>
        <i x="49" s="1" nd="1"/>
        <i x="52" s="1" nd="1"/>
        <i x="59" s="1" nd="1"/>
        <i x="36" s="1" nd="1"/>
        <i x="57" s="1" nd="1"/>
        <i x="60" s="1" nd="1"/>
        <i x="45" s="1" nd="1"/>
        <i x="48" s="1" nd="1"/>
        <i x="37" s="1" nd="1"/>
        <i x="53" s="1" nd="1"/>
        <i x="34" s="1" nd="1"/>
        <i x="58" s="1" nd="1"/>
        <i x="35" s="1" nd="1"/>
        <i x="41" s="1" nd="1"/>
        <i x="47" s="1" nd="1"/>
        <i x="46" s="1" nd="1"/>
        <i x="61" s="1" nd="1"/>
        <i x="44" s="1" nd="1"/>
        <i x="54" s="1" nd="1"/>
        <i x="42" s="1" nd="1"/>
        <i x="50" s="1" nd="1"/>
        <i x="39" s="1" nd="1"/>
        <i x="55" s="1" nd="1"/>
        <i x="51" s="1" nd="1"/>
        <i x="56" s="1" nd="1"/>
        <i x="38" s="1" nd="1"/>
        <i x="40" s="1" nd="1"/>
        <i x="33" s="1" nd="1"/>
        <i x="43" s="1" nd="1"/>
        <i x="3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ja" xr10:uid="{00000000-0014-0000-FFFF-FFFF01000000}" cache="SegmentaçãodeDados_Loja" caption="Loja" style="SlicerStyleDark1" rowHeight="234950"/>
  <slicer name="Descrição" xr10:uid="{00000000-0014-0000-FFFF-FFFF02000000}" cache="SegmentaçãodeDados_Descrição" caption="Descrição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sumo_Mensal" displayName="Resumo_Mensal" ref="A1:C19" tableType="queryTable" totalsRowCount="1">
  <tableColumns count="3">
    <tableColumn id="44" xr3:uid="{00000000-0010-0000-0000-00002C000000}" uniqueName="44" name="Lojas" queryTableFieldId="44"/>
    <tableColumn id="41" xr3:uid="{00000000-0010-0000-0000-000029000000}" uniqueName="41" name="Personalizar.1" queryTableFieldId="41"/>
    <tableColumn id="43" xr3:uid="{00000000-0010-0000-0000-00002B000000}" uniqueName="43" name="Valor Calculado" totalsRowFunction="sum" queryTableFieldId="42" dataDxfId="30" totalsRowDxfId="31" dataCellStyle="Moed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ntegração_Contábil" displayName="Integração_Contábil" ref="A1:F330" tableType="queryTable" totalsRowShown="0" headerRowDxfId="64">
  <autoFilter ref="A1:F330" xr:uid="{00000000-0009-0000-0100-000001000000}"/>
  <tableColumns count="6">
    <tableColumn id="4" xr3:uid="{00000000-0010-0000-0100-000004000000}" uniqueName="4" name="Loja" queryTableFieldId="4" dataDxfId="63"/>
    <tableColumn id="5" xr3:uid="{00000000-0010-0000-0100-000005000000}" uniqueName="5" name="Descrição" queryTableFieldId="1" dataDxfId="62"/>
    <tableColumn id="6" xr3:uid="{00000000-0010-0000-0100-000006000000}" uniqueName="6" name="Débito" queryTableFieldId="5" dataDxfId="61"/>
    <tableColumn id="2" xr3:uid="{00000000-0010-0000-0100-000002000000}" uniqueName="2" name="Crédito" queryTableFieldId="2" dataDxfId="60"/>
    <tableColumn id="7" xr3:uid="{00000000-0010-0000-0100-000007000000}" uniqueName="7" name="D/C" queryTableFieldId="6" dataDxfId="59"/>
    <tableColumn id="8" xr3:uid="{00000000-0010-0000-0100-000008000000}" uniqueName="8" name="Valor R$" queryTableField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66"/>
  <sheetViews>
    <sheetView showGridLines="0" tabSelected="1" zoomScale="80" zoomScaleNormal="80" workbookViewId="0">
      <selection activeCell="M33" sqref="M33:M34"/>
    </sheetView>
  </sheetViews>
  <sheetFormatPr defaultRowHeight="15" x14ac:dyDescent="0.25"/>
  <cols>
    <col min="1" max="1" width="38.42578125" bestFit="1" customWidth="1"/>
    <col min="2" max="2" width="18.5703125" style="5" bestFit="1" customWidth="1"/>
    <col min="3" max="3" width="15.5703125" style="5" bestFit="1" customWidth="1"/>
  </cols>
  <sheetData>
    <row r="1" spans="1:13" x14ac:dyDescent="0.25">
      <c r="A1" s="10" t="s">
        <v>38</v>
      </c>
      <c r="B1" s="10"/>
      <c r="C1" s="10"/>
      <c r="D1" s="10"/>
      <c r="E1" s="10"/>
      <c r="F1" s="10"/>
      <c r="G1" s="10"/>
      <c r="H1" s="11">
        <f>VLOOKUP("Total Geral",A:G,2,0)-VLOOKUP("Total Geral",A:G,3,0)</f>
        <v>0</v>
      </c>
      <c r="I1" s="12"/>
      <c r="J1" s="13"/>
      <c r="K1" s="11">
        <f>MAX(RESUMO!C:C)-VLOOKUP("Total Geral",INTEGRAÇÃO!A:G,2,0)</f>
        <v>0</v>
      </c>
      <c r="L1" s="12"/>
      <c r="M1" s="13"/>
    </row>
    <row r="2" spans="1:13" x14ac:dyDescent="0.25">
      <c r="A2" s="10"/>
      <c r="B2" s="10"/>
      <c r="C2" s="10"/>
      <c r="D2" s="10"/>
      <c r="E2" s="10"/>
      <c r="F2" s="10"/>
      <c r="G2" s="10"/>
      <c r="H2" s="14"/>
      <c r="I2" s="15"/>
      <c r="J2" s="16"/>
      <c r="K2" s="14"/>
      <c r="L2" s="15"/>
      <c r="M2" s="16"/>
    </row>
    <row r="3" spans="1:13" hidden="1" x14ac:dyDescent="0.25">
      <c r="A3" s="2" t="s">
        <v>37</v>
      </c>
      <c r="B3" s="4" t="s">
        <v>35</v>
      </c>
    </row>
    <row r="4" spans="1:13" x14ac:dyDescent="0.25">
      <c r="A4" s="2" t="s">
        <v>0</v>
      </c>
      <c r="B4" s="5" t="s">
        <v>31</v>
      </c>
      <c r="C4" s="5" t="s">
        <v>30</v>
      </c>
    </row>
    <row r="5" spans="1:13" x14ac:dyDescent="0.25">
      <c r="A5" s="3" t="s">
        <v>102</v>
      </c>
      <c r="B5" s="6"/>
      <c r="C5" s="6">
        <v>576.61</v>
      </c>
    </row>
    <row r="6" spans="1:13" x14ac:dyDescent="0.25">
      <c r="A6" s="3" t="s">
        <v>80</v>
      </c>
      <c r="B6" s="6">
        <v>96144.78</v>
      </c>
      <c r="C6" s="6"/>
    </row>
    <row r="7" spans="1:13" x14ac:dyDescent="0.25">
      <c r="A7" s="3" t="s">
        <v>77</v>
      </c>
      <c r="B7" s="6">
        <v>3614.73</v>
      </c>
      <c r="C7" s="6"/>
    </row>
    <row r="8" spans="1:13" x14ac:dyDescent="0.25">
      <c r="A8" s="3" t="s">
        <v>96</v>
      </c>
      <c r="B8" s="6"/>
      <c r="C8" s="6">
        <v>4159.54</v>
      </c>
    </row>
    <row r="9" spans="1:13" x14ac:dyDescent="0.25">
      <c r="A9" s="3" t="s">
        <v>82</v>
      </c>
      <c r="B9" s="6">
        <v>27333.41</v>
      </c>
      <c r="C9" s="6"/>
    </row>
    <row r="10" spans="1:13" x14ac:dyDescent="0.25">
      <c r="A10" s="3" t="s">
        <v>73</v>
      </c>
      <c r="B10" s="6">
        <v>165434.65999999997</v>
      </c>
      <c r="C10" s="6"/>
    </row>
    <row r="11" spans="1:13" x14ac:dyDescent="0.25">
      <c r="A11" s="3" t="s">
        <v>75</v>
      </c>
      <c r="B11" s="6">
        <v>19302.72</v>
      </c>
      <c r="C11" s="6"/>
    </row>
    <row r="12" spans="1:13" x14ac:dyDescent="0.25">
      <c r="A12" s="3" t="s">
        <v>68</v>
      </c>
      <c r="B12" s="6">
        <v>134874.00999999998</v>
      </c>
      <c r="C12" s="6"/>
    </row>
    <row r="13" spans="1:13" x14ac:dyDescent="0.25">
      <c r="A13" s="3" t="s">
        <v>92</v>
      </c>
      <c r="B13" s="6"/>
      <c r="C13" s="6">
        <v>220.25</v>
      </c>
    </row>
    <row r="14" spans="1:13" x14ac:dyDescent="0.25">
      <c r="A14" s="3" t="s">
        <v>62</v>
      </c>
      <c r="B14" s="6"/>
      <c r="C14" s="6">
        <v>211028.42</v>
      </c>
    </row>
    <row r="15" spans="1:13" x14ac:dyDescent="0.25">
      <c r="A15" s="3" t="s">
        <v>72</v>
      </c>
      <c r="B15" s="6">
        <v>138209.21</v>
      </c>
      <c r="C15" s="6"/>
    </row>
    <row r="16" spans="1:13" x14ac:dyDescent="0.25">
      <c r="A16" s="3" t="s">
        <v>6</v>
      </c>
      <c r="B16" s="6">
        <v>184140.16000000009</v>
      </c>
      <c r="C16" s="6"/>
    </row>
    <row r="17" spans="1:3" x14ac:dyDescent="0.25">
      <c r="A17" s="3" t="s">
        <v>4</v>
      </c>
      <c r="B17" s="6">
        <v>15182.09</v>
      </c>
      <c r="C17" s="6"/>
    </row>
    <row r="18" spans="1:3" x14ac:dyDescent="0.25">
      <c r="A18" s="3" t="s">
        <v>89</v>
      </c>
      <c r="B18" s="6">
        <v>16337.519999999999</v>
      </c>
      <c r="C18" s="6"/>
    </row>
    <row r="19" spans="1:3" x14ac:dyDescent="0.25">
      <c r="A19" s="3" t="s">
        <v>14</v>
      </c>
      <c r="B19" s="6">
        <v>1783.1000000000001</v>
      </c>
      <c r="C19" s="6"/>
    </row>
    <row r="20" spans="1:3" x14ac:dyDescent="0.25">
      <c r="A20" s="3" t="s">
        <v>87</v>
      </c>
      <c r="B20" s="6"/>
      <c r="C20" s="6">
        <v>15572.04</v>
      </c>
    </row>
    <row r="21" spans="1:3" x14ac:dyDescent="0.25">
      <c r="A21" s="3" t="s">
        <v>64</v>
      </c>
      <c r="B21" s="6"/>
      <c r="C21" s="6">
        <v>33554.54</v>
      </c>
    </row>
    <row r="22" spans="1:3" x14ac:dyDescent="0.25">
      <c r="A22" s="3" t="s">
        <v>70</v>
      </c>
      <c r="B22" s="6"/>
      <c r="C22" s="6">
        <v>179213.23</v>
      </c>
    </row>
    <row r="23" spans="1:3" x14ac:dyDescent="0.25">
      <c r="A23" s="3" t="s">
        <v>83</v>
      </c>
      <c r="B23" s="6">
        <v>109059.81000000003</v>
      </c>
      <c r="C23" s="6"/>
    </row>
    <row r="24" spans="1:3" x14ac:dyDescent="0.25">
      <c r="A24" s="3" t="s">
        <v>17</v>
      </c>
      <c r="B24" s="6">
        <v>11923.18</v>
      </c>
      <c r="C24" s="6"/>
    </row>
    <row r="25" spans="1:3" x14ac:dyDescent="0.25">
      <c r="A25" s="3" t="s">
        <v>65</v>
      </c>
      <c r="B25" s="6"/>
      <c r="C25" s="6">
        <v>2001016.4999999995</v>
      </c>
    </row>
    <row r="26" spans="1:3" x14ac:dyDescent="0.25">
      <c r="A26" s="3" t="s">
        <v>11</v>
      </c>
      <c r="B26" s="6"/>
      <c r="C26" s="6">
        <v>27133.559999999994</v>
      </c>
    </row>
    <row r="27" spans="1:3" x14ac:dyDescent="0.25">
      <c r="A27" s="3" t="s">
        <v>66</v>
      </c>
      <c r="B27" s="6">
        <v>1536299.0299999998</v>
      </c>
      <c r="C27" s="6"/>
    </row>
    <row r="28" spans="1:3" x14ac:dyDescent="0.25">
      <c r="A28" s="3" t="s">
        <v>86</v>
      </c>
      <c r="B28" s="6">
        <v>375.42</v>
      </c>
      <c r="C28" s="6"/>
    </row>
    <row r="29" spans="1:3" x14ac:dyDescent="0.25">
      <c r="A29" s="3" t="s">
        <v>78</v>
      </c>
      <c r="B29" s="6">
        <v>18839.07</v>
      </c>
      <c r="C29" s="6"/>
    </row>
    <row r="30" spans="1:3" x14ac:dyDescent="0.25">
      <c r="A30" s="3" t="s">
        <v>42</v>
      </c>
      <c r="B30" s="6"/>
      <c r="C30" s="6">
        <v>3729.16</v>
      </c>
    </row>
    <row r="31" spans="1:3" x14ac:dyDescent="0.25">
      <c r="A31" s="3" t="s">
        <v>98</v>
      </c>
      <c r="B31" s="6"/>
      <c r="C31" s="6">
        <v>255.10000000000002</v>
      </c>
    </row>
    <row r="32" spans="1:3" x14ac:dyDescent="0.25">
      <c r="A32" s="3" t="s">
        <v>101</v>
      </c>
      <c r="B32" s="6"/>
      <c r="C32" s="6">
        <v>258.43</v>
      </c>
    </row>
    <row r="33" spans="1:3" x14ac:dyDescent="0.25">
      <c r="A33" s="3" t="s">
        <v>43</v>
      </c>
      <c r="B33" s="6"/>
      <c r="C33" s="6">
        <v>2135.5199999999995</v>
      </c>
    </row>
    <row r="34" spans="1:3" x14ac:dyDescent="0.25">
      <c r="A34" s="3" t="s">
        <v>36</v>
      </c>
      <c r="B34" s="8">
        <v>2478852.8999999994</v>
      </c>
      <c r="C34" s="8">
        <v>2478852.9</v>
      </c>
    </row>
    <row r="35" spans="1:3" x14ac:dyDescent="0.25">
      <c r="B35"/>
      <c r="C35"/>
    </row>
    <row r="36" spans="1:3" x14ac:dyDescent="0.25">
      <c r="B36"/>
      <c r="C36"/>
    </row>
    <row r="37" spans="1:3" x14ac:dyDescent="0.25">
      <c r="B37"/>
      <c r="C37"/>
    </row>
    <row r="38" spans="1:3" x14ac:dyDescent="0.25">
      <c r="B38"/>
      <c r="C38"/>
    </row>
    <row r="39" spans="1:3" x14ac:dyDescent="0.25">
      <c r="B39"/>
      <c r="C39"/>
    </row>
    <row r="40" spans="1:3" x14ac:dyDescent="0.25">
      <c r="B40"/>
      <c r="C40"/>
    </row>
    <row r="41" spans="1:3" x14ac:dyDescent="0.25">
      <c r="B41"/>
      <c r="C41"/>
    </row>
    <row r="42" spans="1:3" x14ac:dyDescent="0.25">
      <c r="B42"/>
      <c r="C42"/>
    </row>
    <row r="43" spans="1:3" x14ac:dyDescent="0.25">
      <c r="B43"/>
      <c r="C43"/>
    </row>
    <row r="44" spans="1:3" x14ac:dyDescent="0.25">
      <c r="B44"/>
      <c r="C44"/>
    </row>
    <row r="45" spans="1:3" x14ac:dyDescent="0.25">
      <c r="B45"/>
      <c r="C45"/>
    </row>
    <row r="46" spans="1:3" x14ac:dyDescent="0.25">
      <c r="B46"/>
      <c r="C46"/>
    </row>
    <row r="47" spans="1:3" x14ac:dyDescent="0.25">
      <c r="B47"/>
      <c r="C47"/>
    </row>
    <row r="48" spans="1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</sheetData>
  <autoFilter ref="A1:M26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</autoFilter>
  <mergeCells count="3">
    <mergeCell ref="A1:G2"/>
    <mergeCell ref="H1:J2"/>
    <mergeCell ref="K1:M2"/>
  </mergeCells>
  <conditionalFormatting sqref="H1:M2">
    <cfRule type="cellIs" dxfId="58" priority="1" operator="equal">
      <formula>0</formula>
    </cfRule>
    <cfRule type="cellIs" dxfId="57" priority="2" operator="lessThan">
      <formula>0</formula>
    </cfRule>
    <cfRule type="cellIs" dxfId="5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C19"/>
  <sheetViews>
    <sheetView showGridLines="0" zoomScale="90" zoomScaleNormal="90" workbookViewId="0">
      <selection activeCell="B17" sqref="B17"/>
    </sheetView>
  </sheetViews>
  <sheetFormatPr defaultRowHeight="15" x14ac:dyDescent="0.25"/>
  <cols>
    <col min="1" max="1" width="34.28515625" bestFit="1" customWidth="1"/>
    <col min="2" max="2" width="13.5703125" bestFit="1" customWidth="1"/>
    <col min="3" max="3" width="16.7109375" style="7" bestFit="1" customWidth="1"/>
    <col min="4" max="4" width="17.42578125" bestFit="1" customWidth="1"/>
    <col min="5" max="5" width="34.140625" bestFit="1" customWidth="1"/>
    <col min="6" max="6" width="16.28515625" bestFit="1" customWidth="1"/>
    <col min="7" max="7" width="33.140625" bestFit="1" customWidth="1"/>
    <col min="8" max="11" width="10.7109375" bestFit="1" customWidth="1"/>
    <col min="12" max="16" width="11.7109375" bestFit="1" customWidth="1"/>
    <col min="17" max="17" width="25.7109375" bestFit="1" customWidth="1"/>
    <col min="18" max="19" width="11.7109375" bestFit="1" customWidth="1"/>
    <col min="20" max="20" width="37" bestFit="1" customWidth="1"/>
    <col min="21" max="22" width="11.7109375" bestFit="1" customWidth="1"/>
    <col min="23" max="23" width="33.7109375" bestFit="1" customWidth="1"/>
    <col min="24" max="25" width="11.7109375" bestFit="1" customWidth="1"/>
    <col min="26" max="26" width="12.28515625" bestFit="1" customWidth="1"/>
    <col min="27" max="27" width="11.7109375" bestFit="1" customWidth="1"/>
    <col min="28" max="28" width="14.42578125" bestFit="1" customWidth="1"/>
    <col min="29" max="33" width="11.7109375" bestFit="1" customWidth="1"/>
    <col min="34" max="34" width="13.85546875" bestFit="1" customWidth="1"/>
    <col min="35" max="35" width="12" bestFit="1" customWidth="1"/>
    <col min="36" max="37" width="11.7109375" bestFit="1" customWidth="1"/>
    <col min="38" max="38" width="12" bestFit="1" customWidth="1"/>
    <col min="39" max="41" width="11.7109375" bestFit="1" customWidth="1"/>
    <col min="42" max="42" width="33.140625" bestFit="1" customWidth="1"/>
    <col min="43" max="43" width="14.85546875" bestFit="1" customWidth="1"/>
  </cols>
  <sheetData>
    <row r="1" spans="1:3" x14ac:dyDescent="0.25">
      <c r="A1" t="s">
        <v>41</v>
      </c>
      <c r="B1" t="s">
        <v>39</v>
      </c>
      <c r="C1" s="7" t="s">
        <v>40</v>
      </c>
    </row>
    <row r="2" spans="1:3" x14ac:dyDescent="0.25">
      <c r="A2" t="s">
        <v>44</v>
      </c>
      <c r="B2" t="s">
        <v>45</v>
      </c>
      <c r="C2" s="7">
        <v>153880.13</v>
      </c>
    </row>
    <row r="3" spans="1:3" x14ac:dyDescent="0.25">
      <c r="A3" t="s">
        <v>46</v>
      </c>
      <c r="B3" t="s">
        <v>45</v>
      </c>
      <c r="C3" s="7">
        <v>122654.56</v>
      </c>
    </row>
    <row r="4" spans="1:3" x14ac:dyDescent="0.25">
      <c r="A4" t="s">
        <v>47</v>
      </c>
      <c r="B4" t="s">
        <v>45</v>
      </c>
      <c r="C4" s="7">
        <v>195095.17999999996</v>
      </c>
    </row>
    <row r="5" spans="1:3" x14ac:dyDescent="0.25">
      <c r="A5" t="s">
        <v>48</v>
      </c>
      <c r="B5" t="s">
        <v>45</v>
      </c>
      <c r="C5" s="7">
        <v>92303.79</v>
      </c>
    </row>
    <row r="6" spans="1:3" x14ac:dyDescent="0.25">
      <c r="A6" t="s">
        <v>49</v>
      </c>
      <c r="B6" t="s">
        <v>45</v>
      </c>
      <c r="C6" s="7">
        <v>139422.08000000005</v>
      </c>
    </row>
    <row r="7" spans="1:3" x14ac:dyDescent="0.25">
      <c r="A7" t="s">
        <v>50</v>
      </c>
      <c r="B7" t="s">
        <v>45</v>
      </c>
      <c r="C7" s="7">
        <v>114545.99</v>
      </c>
    </row>
    <row r="8" spans="1:3" x14ac:dyDescent="0.25">
      <c r="A8" t="s">
        <v>51</v>
      </c>
      <c r="B8" t="s">
        <v>45</v>
      </c>
      <c r="C8" s="7">
        <v>165617.25999999998</v>
      </c>
    </row>
    <row r="9" spans="1:3" x14ac:dyDescent="0.25">
      <c r="A9" t="s">
        <v>52</v>
      </c>
      <c r="B9" t="s">
        <v>45</v>
      </c>
      <c r="C9" s="7">
        <v>159737.87000000002</v>
      </c>
    </row>
    <row r="10" spans="1:3" x14ac:dyDescent="0.25">
      <c r="A10" t="s">
        <v>53</v>
      </c>
      <c r="B10" t="s">
        <v>45</v>
      </c>
      <c r="C10" s="7">
        <v>274494.51999999996</v>
      </c>
    </row>
    <row r="11" spans="1:3" x14ac:dyDescent="0.25">
      <c r="A11" t="s">
        <v>54</v>
      </c>
      <c r="B11" t="s">
        <v>45</v>
      </c>
      <c r="C11" s="7">
        <v>206763.58</v>
      </c>
    </row>
    <row r="12" spans="1:3" x14ac:dyDescent="0.25">
      <c r="A12" t="s">
        <v>55</v>
      </c>
      <c r="B12" t="s">
        <v>45</v>
      </c>
      <c r="C12" s="7">
        <v>87162</v>
      </c>
    </row>
    <row r="13" spans="1:3" x14ac:dyDescent="0.25">
      <c r="A13" t="s">
        <v>56</v>
      </c>
      <c r="B13" t="s">
        <v>45</v>
      </c>
      <c r="C13" s="7">
        <v>95297.079999999987</v>
      </c>
    </row>
    <row r="14" spans="1:3" x14ac:dyDescent="0.25">
      <c r="A14" t="s">
        <v>57</v>
      </c>
      <c r="B14" t="s">
        <v>45</v>
      </c>
      <c r="C14" s="7">
        <v>183765.63000000006</v>
      </c>
    </row>
    <row r="15" spans="1:3" x14ac:dyDescent="0.25">
      <c r="A15" t="s">
        <v>58</v>
      </c>
      <c r="B15" t="s">
        <v>45</v>
      </c>
      <c r="C15" s="7">
        <v>157653.20999999996</v>
      </c>
    </row>
    <row r="16" spans="1:3" x14ac:dyDescent="0.25">
      <c r="A16" t="s">
        <v>94</v>
      </c>
      <c r="B16" t="s">
        <v>45</v>
      </c>
      <c r="C16" s="7">
        <v>125622.29000000001</v>
      </c>
    </row>
    <row r="17" spans="1:3" x14ac:dyDescent="0.25">
      <c r="A17" t="s">
        <v>99</v>
      </c>
      <c r="B17" t="s">
        <v>45</v>
      </c>
      <c r="C17" s="7">
        <v>128253.45</v>
      </c>
    </row>
    <row r="18" spans="1:3" x14ac:dyDescent="0.25">
      <c r="A18" t="s">
        <v>100</v>
      </c>
      <c r="B18" t="s">
        <v>45</v>
      </c>
      <c r="C18" s="7">
        <v>76584.28</v>
      </c>
    </row>
    <row r="19" spans="1:3" x14ac:dyDescent="0.25">
      <c r="C19" s="9">
        <f>SUBTOTAL(109,Resumo_Mensal[Valor Calculado])</f>
        <v>2478852.9000000004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F330"/>
  <sheetViews>
    <sheetView showGridLines="0" topLeftCell="A262" zoomScale="80" zoomScaleNormal="80" workbookViewId="0"/>
  </sheetViews>
  <sheetFormatPr defaultRowHeight="15" x14ac:dyDescent="0.25"/>
  <cols>
    <col min="1" max="1" width="31.7109375" bestFit="1" customWidth="1"/>
    <col min="2" max="2" width="44.28515625" bestFit="1" customWidth="1"/>
    <col min="3" max="3" width="10" bestFit="1" customWidth="1"/>
    <col min="4" max="4" width="10.28515625" bestFit="1" customWidth="1"/>
    <col min="5" max="5" width="7.42578125" bestFit="1" customWidth="1"/>
    <col min="6" max="6" width="11.5703125" bestFit="1" customWidth="1"/>
    <col min="7" max="7" width="6.85546875" bestFit="1" customWidth="1"/>
  </cols>
  <sheetData>
    <row r="1" spans="1:6" x14ac:dyDescent="0.25">
      <c r="A1" s="1" t="s">
        <v>2</v>
      </c>
      <c r="B1" s="1" t="s">
        <v>0</v>
      </c>
      <c r="C1" s="1" t="s">
        <v>28</v>
      </c>
      <c r="D1" s="1" t="s">
        <v>1</v>
      </c>
      <c r="E1" s="1" t="s">
        <v>29</v>
      </c>
      <c r="F1" s="1" t="s">
        <v>34</v>
      </c>
    </row>
    <row r="2" spans="1:6" x14ac:dyDescent="0.25">
      <c r="A2" t="s">
        <v>3</v>
      </c>
      <c r="B2" t="s">
        <v>65</v>
      </c>
      <c r="C2" t="s">
        <v>8</v>
      </c>
      <c r="D2" t="s">
        <v>10</v>
      </c>
      <c r="E2" t="s">
        <v>30</v>
      </c>
      <c r="F2">
        <v>147088.82</v>
      </c>
    </row>
    <row r="3" spans="1:6" x14ac:dyDescent="0.25">
      <c r="A3" t="s">
        <v>3</v>
      </c>
      <c r="B3" t="s">
        <v>62</v>
      </c>
      <c r="C3" t="s">
        <v>63</v>
      </c>
      <c r="D3" t="s">
        <v>10</v>
      </c>
      <c r="E3" t="s">
        <v>30</v>
      </c>
      <c r="F3">
        <v>39861.23000000001</v>
      </c>
    </row>
    <row r="4" spans="1:6" x14ac:dyDescent="0.25">
      <c r="A4" t="s">
        <v>3</v>
      </c>
      <c r="B4" t="s">
        <v>6</v>
      </c>
      <c r="C4" t="s">
        <v>10</v>
      </c>
      <c r="D4" t="s">
        <v>7</v>
      </c>
      <c r="E4" t="s">
        <v>31</v>
      </c>
      <c r="F4">
        <v>16228.720000000001</v>
      </c>
    </row>
    <row r="5" spans="1:6" x14ac:dyDescent="0.25">
      <c r="A5" t="s">
        <v>3</v>
      </c>
      <c r="B5" t="s">
        <v>66</v>
      </c>
      <c r="C5" t="s">
        <v>10</v>
      </c>
      <c r="D5" t="s">
        <v>67</v>
      </c>
      <c r="E5" t="s">
        <v>31</v>
      </c>
      <c r="F5">
        <v>127257.74999999997</v>
      </c>
    </row>
    <row r="6" spans="1:6" x14ac:dyDescent="0.25">
      <c r="A6" t="s">
        <v>3</v>
      </c>
      <c r="B6" t="s">
        <v>60</v>
      </c>
      <c r="C6" t="s">
        <v>61</v>
      </c>
      <c r="D6" t="s">
        <v>9</v>
      </c>
      <c r="E6" t="s">
        <v>30</v>
      </c>
      <c r="F6">
        <v>14516.150000000009</v>
      </c>
    </row>
    <row r="7" spans="1:6" x14ac:dyDescent="0.25">
      <c r="A7" t="s">
        <v>3</v>
      </c>
      <c r="B7" t="s">
        <v>68</v>
      </c>
      <c r="C7" t="s">
        <v>10</v>
      </c>
      <c r="D7" t="s">
        <v>69</v>
      </c>
      <c r="E7" t="s">
        <v>31</v>
      </c>
      <c r="F7">
        <v>11864.859999999999</v>
      </c>
    </row>
    <row r="8" spans="1:6" x14ac:dyDescent="0.25">
      <c r="A8" t="s">
        <v>3</v>
      </c>
      <c r="B8" t="s">
        <v>72</v>
      </c>
      <c r="C8" t="s">
        <v>10</v>
      </c>
      <c r="D8" t="s">
        <v>8</v>
      </c>
      <c r="E8" t="s">
        <v>31</v>
      </c>
      <c r="F8">
        <v>10428.48</v>
      </c>
    </row>
    <row r="9" spans="1:6" x14ac:dyDescent="0.25">
      <c r="A9" t="s">
        <v>3</v>
      </c>
      <c r="B9" t="s">
        <v>73</v>
      </c>
      <c r="C9" t="s">
        <v>10</v>
      </c>
      <c r="D9" t="s">
        <v>74</v>
      </c>
      <c r="E9" t="s">
        <v>31</v>
      </c>
      <c r="F9">
        <v>20311.3</v>
      </c>
    </row>
    <row r="10" spans="1:6" x14ac:dyDescent="0.25">
      <c r="A10" t="s">
        <v>3</v>
      </c>
      <c r="B10" t="s">
        <v>4</v>
      </c>
      <c r="C10" t="s">
        <v>10</v>
      </c>
      <c r="D10" t="s">
        <v>5</v>
      </c>
      <c r="E10" t="s">
        <v>31</v>
      </c>
      <c r="F10">
        <v>729.11</v>
      </c>
    </row>
    <row r="11" spans="1:6" x14ac:dyDescent="0.25">
      <c r="A11" t="s">
        <v>3</v>
      </c>
      <c r="B11" t="s">
        <v>75</v>
      </c>
      <c r="C11" t="s">
        <v>10</v>
      </c>
      <c r="D11" t="s">
        <v>76</v>
      </c>
      <c r="E11" t="s">
        <v>31</v>
      </c>
      <c r="F11">
        <v>199.16</v>
      </c>
    </row>
    <row r="12" spans="1:6" x14ac:dyDescent="0.25">
      <c r="A12" t="s">
        <v>3</v>
      </c>
      <c r="B12" t="s">
        <v>70</v>
      </c>
      <c r="C12" t="s">
        <v>71</v>
      </c>
      <c r="D12" t="s">
        <v>10</v>
      </c>
      <c r="E12" t="s">
        <v>30</v>
      </c>
      <c r="F12">
        <v>18477.939999999999</v>
      </c>
    </row>
    <row r="13" spans="1:6" x14ac:dyDescent="0.25">
      <c r="A13" t="s">
        <v>3</v>
      </c>
      <c r="B13" t="s">
        <v>78</v>
      </c>
      <c r="C13" t="s">
        <v>10</v>
      </c>
      <c r="D13" t="s">
        <v>79</v>
      </c>
      <c r="E13" t="s">
        <v>31</v>
      </c>
      <c r="F13">
        <v>184.35</v>
      </c>
    </row>
    <row r="14" spans="1:6" x14ac:dyDescent="0.25">
      <c r="A14" t="s">
        <v>3</v>
      </c>
      <c r="B14" t="s">
        <v>80</v>
      </c>
      <c r="C14" t="s">
        <v>10</v>
      </c>
      <c r="D14" t="s">
        <v>81</v>
      </c>
      <c r="E14" t="s">
        <v>31</v>
      </c>
      <c r="F14">
        <v>12770.41</v>
      </c>
    </row>
    <row r="15" spans="1:6" x14ac:dyDescent="0.25">
      <c r="A15" t="s">
        <v>3</v>
      </c>
      <c r="B15" t="s">
        <v>64</v>
      </c>
      <c r="C15" t="s">
        <v>33</v>
      </c>
      <c r="D15" t="s">
        <v>10</v>
      </c>
      <c r="E15" t="s">
        <v>30</v>
      </c>
      <c r="F15">
        <v>1335.59</v>
      </c>
    </row>
    <row r="16" spans="1:6" x14ac:dyDescent="0.25">
      <c r="A16" t="s">
        <v>3</v>
      </c>
      <c r="B16" t="s">
        <v>83</v>
      </c>
      <c r="C16" t="s">
        <v>10</v>
      </c>
      <c r="D16" t="s">
        <v>84</v>
      </c>
      <c r="E16" t="s">
        <v>31</v>
      </c>
      <c r="F16">
        <v>6789.44</v>
      </c>
    </row>
    <row r="17" spans="1:6" x14ac:dyDescent="0.25">
      <c r="A17" t="s">
        <v>12</v>
      </c>
      <c r="B17" t="s">
        <v>65</v>
      </c>
      <c r="C17" t="s">
        <v>8</v>
      </c>
      <c r="D17" t="s">
        <v>10</v>
      </c>
      <c r="E17" t="s">
        <v>30</v>
      </c>
      <c r="F17">
        <v>58915.91</v>
      </c>
    </row>
    <row r="18" spans="1:6" x14ac:dyDescent="0.25">
      <c r="A18" t="s">
        <v>12</v>
      </c>
      <c r="B18" t="s">
        <v>6</v>
      </c>
      <c r="C18" t="s">
        <v>10</v>
      </c>
      <c r="D18" t="s">
        <v>7</v>
      </c>
      <c r="E18" t="s">
        <v>31</v>
      </c>
      <c r="F18">
        <v>6746.5700000000024</v>
      </c>
    </row>
    <row r="19" spans="1:6" x14ac:dyDescent="0.25">
      <c r="A19" t="s">
        <v>12</v>
      </c>
      <c r="B19" t="s">
        <v>66</v>
      </c>
      <c r="C19" t="s">
        <v>10</v>
      </c>
      <c r="D19" t="s">
        <v>67</v>
      </c>
      <c r="E19" t="s">
        <v>31</v>
      </c>
      <c r="F19">
        <v>44695</v>
      </c>
    </row>
    <row r="20" spans="1:6" x14ac:dyDescent="0.25">
      <c r="A20" t="s">
        <v>12</v>
      </c>
      <c r="B20" t="s">
        <v>85</v>
      </c>
      <c r="C20" t="s">
        <v>61</v>
      </c>
      <c r="D20" t="s">
        <v>9</v>
      </c>
      <c r="E20" t="s">
        <v>30</v>
      </c>
      <c r="F20">
        <v>5501.6399999999994</v>
      </c>
    </row>
    <row r="21" spans="1:6" x14ac:dyDescent="0.25">
      <c r="A21" t="s">
        <v>12</v>
      </c>
      <c r="B21" t="s">
        <v>72</v>
      </c>
      <c r="C21" t="s">
        <v>10</v>
      </c>
      <c r="D21" t="s">
        <v>8</v>
      </c>
      <c r="E21" t="s">
        <v>31</v>
      </c>
      <c r="F21">
        <v>2159.3599999999997</v>
      </c>
    </row>
    <row r="22" spans="1:6" x14ac:dyDescent="0.25">
      <c r="A22" t="s">
        <v>12</v>
      </c>
      <c r="B22" t="s">
        <v>77</v>
      </c>
      <c r="C22" t="s">
        <v>10</v>
      </c>
      <c r="D22" t="s">
        <v>8</v>
      </c>
      <c r="E22" t="s">
        <v>31</v>
      </c>
      <c r="F22">
        <v>0.9</v>
      </c>
    </row>
    <row r="23" spans="1:6" x14ac:dyDescent="0.25">
      <c r="A23" t="s">
        <v>12</v>
      </c>
      <c r="B23" t="s">
        <v>68</v>
      </c>
      <c r="C23" t="s">
        <v>10</v>
      </c>
      <c r="D23" t="s">
        <v>69</v>
      </c>
      <c r="E23" t="s">
        <v>31</v>
      </c>
      <c r="F23">
        <v>3790.15</v>
      </c>
    </row>
    <row r="24" spans="1:6" x14ac:dyDescent="0.25">
      <c r="A24" t="s">
        <v>12</v>
      </c>
      <c r="B24" t="s">
        <v>73</v>
      </c>
      <c r="C24" t="s">
        <v>10</v>
      </c>
      <c r="D24" t="s">
        <v>74</v>
      </c>
      <c r="E24" t="s">
        <v>31</v>
      </c>
      <c r="F24">
        <v>6469.79</v>
      </c>
    </row>
    <row r="25" spans="1:6" x14ac:dyDescent="0.25">
      <c r="A25" t="s">
        <v>12</v>
      </c>
      <c r="B25" t="s">
        <v>62</v>
      </c>
      <c r="C25" t="s">
        <v>63</v>
      </c>
      <c r="D25" t="s">
        <v>10</v>
      </c>
      <c r="E25" t="s">
        <v>30</v>
      </c>
      <c r="F25">
        <v>8721.77</v>
      </c>
    </row>
    <row r="26" spans="1:6" x14ac:dyDescent="0.25">
      <c r="A26" t="s">
        <v>12</v>
      </c>
      <c r="B26" t="s">
        <v>78</v>
      </c>
      <c r="C26" t="s">
        <v>10</v>
      </c>
      <c r="D26" t="s">
        <v>79</v>
      </c>
      <c r="E26" t="s">
        <v>31</v>
      </c>
      <c r="F26">
        <v>876.98</v>
      </c>
    </row>
    <row r="27" spans="1:6" x14ac:dyDescent="0.25">
      <c r="A27" t="s">
        <v>12</v>
      </c>
      <c r="B27" t="s">
        <v>70</v>
      </c>
      <c r="C27" t="s">
        <v>71</v>
      </c>
      <c r="D27" t="s">
        <v>10</v>
      </c>
      <c r="E27" t="s">
        <v>30</v>
      </c>
      <c r="F27">
        <v>15392.91</v>
      </c>
    </row>
    <row r="28" spans="1:6" x14ac:dyDescent="0.25">
      <c r="A28" t="s">
        <v>12</v>
      </c>
      <c r="B28" t="s">
        <v>4</v>
      </c>
      <c r="C28" t="s">
        <v>10</v>
      </c>
      <c r="D28" t="s">
        <v>5</v>
      </c>
      <c r="E28" t="s">
        <v>31</v>
      </c>
      <c r="F28">
        <v>908.71</v>
      </c>
    </row>
    <row r="29" spans="1:6" x14ac:dyDescent="0.25">
      <c r="A29" t="s">
        <v>12</v>
      </c>
      <c r="B29" t="s">
        <v>75</v>
      </c>
      <c r="C29" t="s">
        <v>10</v>
      </c>
      <c r="D29" t="s">
        <v>76</v>
      </c>
      <c r="E29" t="s">
        <v>31</v>
      </c>
      <c r="F29">
        <v>383.76</v>
      </c>
    </row>
    <row r="30" spans="1:6" x14ac:dyDescent="0.25">
      <c r="A30" t="s">
        <v>12</v>
      </c>
      <c r="B30" t="s">
        <v>80</v>
      </c>
      <c r="C30" t="s">
        <v>10</v>
      </c>
      <c r="D30" t="s">
        <v>81</v>
      </c>
      <c r="E30" t="s">
        <v>31</v>
      </c>
      <c r="F30">
        <v>8869.25</v>
      </c>
    </row>
    <row r="31" spans="1:6" x14ac:dyDescent="0.25">
      <c r="A31" t="s">
        <v>12</v>
      </c>
      <c r="B31" t="s">
        <v>64</v>
      </c>
      <c r="C31" t="s">
        <v>33</v>
      </c>
      <c r="D31" t="s">
        <v>10</v>
      </c>
      <c r="E31" t="s">
        <v>30</v>
      </c>
      <c r="F31">
        <v>4131.41</v>
      </c>
    </row>
    <row r="32" spans="1:6" x14ac:dyDescent="0.25">
      <c r="A32" t="s">
        <v>12</v>
      </c>
      <c r="B32" t="s">
        <v>83</v>
      </c>
      <c r="C32" t="s">
        <v>10</v>
      </c>
      <c r="D32" t="s">
        <v>84</v>
      </c>
      <c r="E32" t="s">
        <v>31</v>
      </c>
      <c r="F32">
        <v>8521.1200000000008</v>
      </c>
    </row>
    <row r="33" spans="1:6" x14ac:dyDescent="0.25">
      <c r="A33" t="s">
        <v>12</v>
      </c>
      <c r="B33" t="s">
        <v>82</v>
      </c>
      <c r="C33" t="s">
        <v>10</v>
      </c>
      <c r="D33" t="s">
        <v>8</v>
      </c>
      <c r="E33" t="s">
        <v>31</v>
      </c>
      <c r="F33">
        <v>3740.41</v>
      </c>
    </row>
    <row r="34" spans="1:6" x14ac:dyDescent="0.25">
      <c r="A34" t="s">
        <v>13</v>
      </c>
      <c r="B34" t="s">
        <v>65</v>
      </c>
      <c r="C34" t="s">
        <v>8</v>
      </c>
      <c r="D34" t="s">
        <v>10</v>
      </c>
      <c r="E34" t="s">
        <v>30</v>
      </c>
      <c r="F34">
        <v>79552.05</v>
      </c>
    </row>
    <row r="35" spans="1:6" x14ac:dyDescent="0.25">
      <c r="A35" t="s">
        <v>13</v>
      </c>
      <c r="B35" t="s">
        <v>62</v>
      </c>
      <c r="C35" t="s">
        <v>63</v>
      </c>
      <c r="D35" t="s">
        <v>10</v>
      </c>
      <c r="E35" t="s">
        <v>30</v>
      </c>
      <c r="F35">
        <v>5833.1799999999994</v>
      </c>
    </row>
    <row r="36" spans="1:6" x14ac:dyDescent="0.25">
      <c r="A36" t="s">
        <v>13</v>
      </c>
      <c r="B36" t="s">
        <v>14</v>
      </c>
      <c r="C36" t="s">
        <v>10</v>
      </c>
      <c r="D36" t="s">
        <v>15</v>
      </c>
      <c r="E36" t="s">
        <v>31</v>
      </c>
      <c r="F36">
        <v>648.4</v>
      </c>
    </row>
    <row r="37" spans="1:6" x14ac:dyDescent="0.25">
      <c r="A37" t="s">
        <v>13</v>
      </c>
      <c r="B37" t="s">
        <v>6</v>
      </c>
      <c r="C37" t="s">
        <v>10</v>
      </c>
      <c r="D37" t="s">
        <v>7</v>
      </c>
      <c r="E37" t="s">
        <v>31</v>
      </c>
      <c r="F37">
        <v>6770.0499999999993</v>
      </c>
    </row>
    <row r="38" spans="1:6" x14ac:dyDescent="0.25">
      <c r="A38" t="s">
        <v>13</v>
      </c>
      <c r="B38" t="s">
        <v>68</v>
      </c>
      <c r="C38" t="s">
        <v>10</v>
      </c>
      <c r="D38" t="s">
        <v>69</v>
      </c>
      <c r="E38" t="s">
        <v>31</v>
      </c>
      <c r="F38">
        <v>3715.7099999999991</v>
      </c>
    </row>
    <row r="39" spans="1:6" x14ac:dyDescent="0.25">
      <c r="A39" t="s">
        <v>13</v>
      </c>
      <c r="B39" t="s">
        <v>86</v>
      </c>
      <c r="C39" t="s">
        <v>10</v>
      </c>
      <c r="D39" t="s">
        <v>59</v>
      </c>
      <c r="E39" t="s">
        <v>31</v>
      </c>
      <c r="F39">
        <v>295.42</v>
      </c>
    </row>
    <row r="40" spans="1:6" x14ac:dyDescent="0.25">
      <c r="A40" t="s">
        <v>13</v>
      </c>
      <c r="B40" t="s">
        <v>75</v>
      </c>
      <c r="C40" t="s">
        <v>10</v>
      </c>
      <c r="D40" t="s">
        <v>76</v>
      </c>
      <c r="E40" t="s">
        <v>31</v>
      </c>
      <c r="F40">
        <v>2132.4</v>
      </c>
    </row>
    <row r="41" spans="1:6" x14ac:dyDescent="0.25">
      <c r="A41" t="s">
        <v>13</v>
      </c>
      <c r="B41" t="s">
        <v>73</v>
      </c>
      <c r="C41" t="s">
        <v>10</v>
      </c>
      <c r="D41" t="s">
        <v>74</v>
      </c>
      <c r="E41" t="s">
        <v>31</v>
      </c>
      <c r="F41">
        <v>4970.13</v>
      </c>
    </row>
    <row r="42" spans="1:6" x14ac:dyDescent="0.25">
      <c r="A42" t="s">
        <v>13</v>
      </c>
      <c r="B42" t="s">
        <v>66</v>
      </c>
      <c r="C42" t="s">
        <v>10</v>
      </c>
      <c r="D42" t="s">
        <v>67</v>
      </c>
      <c r="E42" t="s">
        <v>31</v>
      </c>
      <c r="F42">
        <v>61196.189999999988</v>
      </c>
    </row>
    <row r="43" spans="1:6" x14ac:dyDescent="0.25">
      <c r="A43" t="s">
        <v>13</v>
      </c>
      <c r="B43" t="s">
        <v>85</v>
      </c>
      <c r="C43" t="s">
        <v>61</v>
      </c>
      <c r="D43" t="s">
        <v>9</v>
      </c>
      <c r="E43" t="s">
        <v>30</v>
      </c>
      <c r="F43">
        <v>5985.9400000000014</v>
      </c>
    </row>
    <row r="44" spans="1:6" x14ac:dyDescent="0.25">
      <c r="A44" t="s">
        <v>13</v>
      </c>
      <c r="B44" t="s">
        <v>70</v>
      </c>
      <c r="C44" t="s">
        <v>71</v>
      </c>
      <c r="D44" t="s">
        <v>10</v>
      </c>
      <c r="E44" t="s">
        <v>30</v>
      </c>
      <c r="F44">
        <v>5399.88</v>
      </c>
    </row>
    <row r="45" spans="1:6" x14ac:dyDescent="0.25">
      <c r="A45" t="s">
        <v>13</v>
      </c>
      <c r="B45" t="s">
        <v>72</v>
      </c>
      <c r="C45" t="s">
        <v>10</v>
      </c>
      <c r="D45" t="s">
        <v>8</v>
      </c>
      <c r="E45" t="s">
        <v>31</v>
      </c>
      <c r="F45">
        <v>4710.0499999999993</v>
      </c>
    </row>
    <row r="46" spans="1:6" x14ac:dyDescent="0.25">
      <c r="A46" t="s">
        <v>13</v>
      </c>
      <c r="B46" t="s">
        <v>77</v>
      </c>
      <c r="C46" t="s">
        <v>10</v>
      </c>
      <c r="D46" t="s">
        <v>8</v>
      </c>
      <c r="E46" t="s">
        <v>31</v>
      </c>
      <c r="F46">
        <v>0.13</v>
      </c>
    </row>
    <row r="47" spans="1:6" x14ac:dyDescent="0.25">
      <c r="A47" t="s">
        <v>13</v>
      </c>
      <c r="B47" t="s">
        <v>78</v>
      </c>
      <c r="C47" t="s">
        <v>10</v>
      </c>
      <c r="D47" t="s">
        <v>79</v>
      </c>
      <c r="E47" t="s">
        <v>31</v>
      </c>
      <c r="F47">
        <v>238.38</v>
      </c>
    </row>
    <row r="48" spans="1:6" x14ac:dyDescent="0.25">
      <c r="A48" t="s">
        <v>13</v>
      </c>
      <c r="B48" t="s">
        <v>11</v>
      </c>
      <c r="C48" t="s">
        <v>32</v>
      </c>
      <c r="D48" t="s">
        <v>10</v>
      </c>
      <c r="E48" t="s">
        <v>30</v>
      </c>
      <c r="F48">
        <v>712.44999999999993</v>
      </c>
    </row>
    <row r="49" spans="1:6" x14ac:dyDescent="0.25">
      <c r="A49" t="s">
        <v>13</v>
      </c>
      <c r="B49" t="s">
        <v>83</v>
      </c>
      <c r="C49" t="s">
        <v>10</v>
      </c>
      <c r="D49" t="s">
        <v>84</v>
      </c>
      <c r="E49" t="s">
        <v>31</v>
      </c>
      <c r="F49">
        <v>6991.67</v>
      </c>
    </row>
    <row r="50" spans="1:6" x14ac:dyDescent="0.25">
      <c r="A50" t="s">
        <v>13</v>
      </c>
      <c r="B50" t="s">
        <v>42</v>
      </c>
      <c r="C50" t="s">
        <v>33</v>
      </c>
      <c r="D50" t="s">
        <v>10</v>
      </c>
      <c r="E50" t="s">
        <v>30</v>
      </c>
      <c r="F50">
        <v>3729.16</v>
      </c>
    </row>
    <row r="51" spans="1:6" x14ac:dyDescent="0.25">
      <c r="A51" t="s">
        <v>13</v>
      </c>
      <c r="B51" t="s">
        <v>64</v>
      </c>
      <c r="C51" t="s">
        <v>33</v>
      </c>
      <c r="D51" t="s">
        <v>10</v>
      </c>
      <c r="E51" t="s">
        <v>30</v>
      </c>
      <c r="F51">
        <v>70.359999999999985</v>
      </c>
    </row>
    <row r="52" spans="1:6" x14ac:dyDescent="0.25">
      <c r="A52" t="s">
        <v>13</v>
      </c>
      <c r="B52" t="s">
        <v>82</v>
      </c>
      <c r="C52" t="s">
        <v>10</v>
      </c>
      <c r="D52" t="s">
        <v>8</v>
      </c>
      <c r="E52" t="s">
        <v>31</v>
      </c>
      <c r="F52">
        <v>3628.55</v>
      </c>
    </row>
    <row r="53" spans="1:6" x14ac:dyDescent="0.25">
      <c r="A53" t="s">
        <v>16</v>
      </c>
      <c r="B53" t="s">
        <v>65</v>
      </c>
      <c r="C53" t="s">
        <v>8</v>
      </c>
      <c r="D53" t="s">
        <v>10</v>
      </c>
      <c r="E53" t="s">
        <v>30</v>
      </c>
      <c r="F53">
        <v>152981.37999999998</v>
      </c>
    </row>
    <row r="54" spans="1:6" x14ac:dyDescent="0.25">
      <c r="A54" t="s">
        <v>16</v>
      </c>
      <c r="B54" t="s">
        <v>62</v>
      </c>
      <c r="C54" t="s">
        <v>63</v>
      </c>
      <c r="D54" t="s">
        <v>10</v>
      </c>
      <c r="E54" t="s">
        <v>30</v>
      </c>
      <c r="F54">
        <v>13777.819999999996</v>
      </c>
    </row>
    <row r="55" spans="1:6" x14ac:dyDescent="0.25">
      <c r="A55" t="s">
        <v>16</v>
      </c>
      <c r="B55" t="s">
        <v>4</v>
      </c>
      <c r="C55" t="s">
        <v>10</v>
      </c>
      <c r="D55" t="s">
        <v>5</v>
      </c>
      <c r="E55" t="s">
        <v>31</v>
      </c>
      <c r="F55">
        <v>457.2</v>
      </c>
    </row>
    <row r="56" spans="1:6" x14ac:dyDescent="0.25">
      <c r="A56" t="s">
        <v>16</v>
      </c>
      <c r="B56" t="s">
        <v>6</v>
      </c>
      <c r="C56" t="s">
        <v>10</v>
      </c>
      <c r="D56" t="s">
        <v>7</v>
      </c>
      <c r="E56" t="s">
        <v>31</v>
      </c>
      <c r="F56">
        <v>13007.400000000001</v>
      </c>
    </row>
    <row r="57" spans="1:6" x14ac:dyDescent="0.25">
      <c r="A57" t="s">
        <v>16</v>
      </c>
      <c r="B57" t="s">
        <v>75</v>
      </c>
      <c r="C57" t="s">
        <v>10</v>
      </c>
      <c r="D57" t="s">
        <v>76</v>
      </c>
      <c r="E57" t="s">
        <v>31</v>
      </c>
      <c r="F57">
        <v>2232.83</v>
      </c>
    </row>
    <row r="58" spans="1:6" x14ac:dyDescent="0.25">
      <c r="A58" t="s">
        <v>16</v>
      </c>
      <c r="B58" t="s">
        <v>73</v>
      </c>
      <c r="C58" t="s">
        <v>10</v>
      </c>
      <c r="D58" t="s">
        <v>74</v>
      </c>
      <c r="E58" t="s">
        <v>31</v>
      </c>
      <c r="F58">
        <v>17999.159999999996</v>
      </c>
    </row>
    <row r="59" spans="1:6" x14ac:dyDescent="0.25">
      <c r="A59" t="s">
        <v>16</v>
      </c>
      <c r="B59" t="s">
        <v>66</v>
      </c>
      <c r="C59" t="s">
        <v>10</v>
      </c>
      <c r="D59" t="s">
        <v>67</v>
      </c>
      <c r="E59" t="s">
        <v>31</v>
      </c>
      <c r="F59">
        <v>104421.13000000003</v>
      </c>
    </row>
    <row r="60" spans="1:6" x14ac:dyDescent="0.25">
      <c r="A60" t="s">
        <v>16</v>
      </c>
      <c r="B60" t="s">
        <v>85</v>
      </c>
      <c r="C60" t="s">
        <v>61</v>
      </c>
      <c r="D60" t="s">
        <v>9</v>
      </c>
      <c r="E60" t="s">
        <v>30</v>
      </c>
      <c r="F60">
        <v>12024.549999999996</v>
      </c>
    </row>
    <row r="61" spans="1:6" x14ac:dyDescent="0.25">
      <c r="A61" t="s">
        <v>16</v>
      </c>
      <c r="B61" t="s">
        <v>78</v>
      </c>
      <c r="C61" t="s">
        <v>10</v>
      </c>
      <c r="D61" t="s">
        <v>79</v>
      </c>
      <c r="E61" t="s">
        <v>31</v>
      </c>
      <c r="F61">
        <v>885.04999999999984</v>
      </c>
    </row>
    <row r="62" spans="1:6" x14ac:dyDescent="0.25">
      <c r="A62" t="s">
        <v>16</v>
      </c>
      <c r="B62" t="s">
        <v>68</v>
      </c>
      <c r="C62" t="s">
        <v>10</v>
      </c>
      <c r="D62" t="s">
        <v>69</v>
      </c>
      <c r="E62" t="s">
        <v>31</v>
      </c>
      <c r="F62">
        <v>10486.88</v>
      </c>
    </row>
    <row r="63" spans="1:6" x14ac:dyDescent="0.25">
      <c r="A63" t="s">
        <v>16</v>
      </c>
      <c r="B63" t="s">
        <v>72</v>
      </c>
      <c r="C63" t="s">
        <v>10</v>
      </c>
      <c r="D63" t="s">
        <v>8</v>
      </c>
      <c r="E63" t="s">
        <v>31</v>
      </c>
      <c r="F63">
        <v>18991.589999999997</v>
      </c>
    </row>
    <row r="64" spans="1:6" x14ac:dyDescent="0.25">
      <c r="A64" t="s">
        <v>16</v>
      </c>
      <c r="B64" t="s">
        <v>11</v>
      </c>
      <c r="C64" t="s">
        <v>32</v>
      </c>
      <c r="D64" t="s">
        <v>10</v>
      </c>
      <c r="E64" t="s">
        <v>30</v>
      </c>
      <c r="F64">
        <v>5749.119999999999</v>
      </c>
    </row>
    <row r="65" spans="1:6" x14ac:dyDescent="0.25">
      <c r="A65" t="s">
        <v>16</v>
      </c>
      <c r="B65" t="s">
        <v>17</v>
      </c>
      <c r="C65" t="s">
        <v>10</v>
      </c>
      <c r="D65" t="s">
        <v>8</v>
      </c>
      <c r="E65" t="s">
        <v>31</v>
      </c>
      <c r="F65">
        <v>1616.77</v>
      </c>
    </row>
    <row r="66" spans="1:6" x14ac:dyDescent="0.25">
      <c r="A66" t="s">
        <v>16</v>
      </c>
      <c r="B66" t="s">
        <v>70</v>
      </c>
      <c r="C66" t="s">
        <v>71</v>
      </c>
      <c r="D66" t="s">
        <v>10</v>
      </c>
      <c r="E66" t="s">
        <v>30</v>
      </c>
      <c r="F66">
        <v>17684.599999999999</v>
      </c>
    </row>
    <row r="67" spans="1:6" x14ac:dyDescent="0.25">
      <c r="A67" t="s">
        <v>16</v>
      </c>
      <c r="B67" t="s">
        <v>80</v>
      </c>
      <c r="C67" t="s">
        <v>10</v>
      </c>
      <c r="D67" t="s">
        <v>81</v>
      </c>
      <c r="E67" t="s">
        <v>31</v>
      </c>
      <c r="F67">
        <v>7344.85</v>
      </c>
    </row>
    <row r="68" spans="1:6" x14ac:dyDescent="0.25">
      <c r="A68" t="s">
        <v>16</v>
      </c>
      <c r="B68" t="s">
        <v>64</v>
      </c>
      <c r="C68" t="s">
        <v>33</v>
      </c>
      <c r="D68" t="s">
        <v>10</v>
      </c>
      <c r="E68" t="s">
        <v>30</v>
      </c>
      <c r="F68">
        <v>4647.16</v>
      </c>
    </row>
    <row r="69" spans="1:6" x14ac:dyDescent="0.25">
      <c r="A69" t="s">
        <v>16</v>
      </c>
      <c r="B69" t="s">
        <v>83</v>
      </c>
      <c r="C69" t="s">
        <v>10</v>
      </c>
      <c r="D69" t="s">
        <v>84</v>
      </c>
      <c r="E69" t="s">
        <v>31</v>
      </c>
      <c r="F69">
        <v>12836.560000000001</v>
      </c>
    </row>
    <row r="70" spans="1:6" x14ac:dyDescent="0.25">
      <c r="A70" t="s">
        <v>16</v>
      </c>
      <c r="B70" t="s">
        <v>98</v>
      </c>
      <c r="C70" t="s">
        <v>33</v>
      </c>
      <c r="D70" t="s">
        <v>10</v>
      </c>
      <c r="E70" t="s">
        <v>30</v>
      </c>
      <c r="F70">
        <v>255.10000000000002</v>
      </c>
    </row>
    <row r="71" spans="1:6" x14ac:dyDescent="0.25">
      <c r="A71" t="s">
        <v>16</v>
      </c>
      <c r="B71" t="s">
        <v>82</v>
      </c>
      <c r="C71" t="s">
        <v>10</v>
      </c>
      <c r="D71" t="s">
        <v>8</v>
      </c>
      <c r="E71" t="s">
        <v>31</v>
      </c>
      <c r="F71">
        <v>4040.09</v>
      </c>
    </row>
    <row r="72" spans="1:6" x14ac:dyDescent="0.25">
      <c r="A72" t="s">
        <v>16</v>
      </c>
      <c r="B72" t="s">
        <v>89</v>
      </c>
      <c r="C72" t="s">
        <v>10</v>
      </c>
      <c r="D72" t="s">
        <v>90</v>
      </c>
      <c r="E72" t="s">
        <v>31</v>
      </c>
      <c r="F72">
        <v>775.67</v>
      </c>
    </row>
    <row r="73" spans="1:6" x14ac:dyDescent="0.25">
      <c r="A73" t="s">
        <v>18</v>
      </c>
      <c r="B73" t="s">
        <v>4</v>
      </c>
      <c r="C73" t="s">
        <v>10</v>
      </c>
      <c r="D73" t="s">
        <v>5</v>
      </c>
      <c r="E73" t="s">
        <v>31</v>
      </c>
      <c r="F73">
        <v>2065.2799999999997</v>
      </c>
    </row>
    <row r="74" spans="1:6" x14ac:dyDescent="0.25">
      <c r="A74" t="s">
        <v>18</v>
      </c>
      <c r="B74" t="s">
        <v>6</v>
      </c>
      <c r="C74" t="s">
        <v>10</v>
      </c>
      <c r="D74" t="s">
        <v>7</v>
      </c>
      <c r="E74" t="s">
        <v>31</v>
      </c>
      <c r="F74">
        <v>10870.880000000001</v>
      </c>
    </row>
    <row r="75" spans="1:6" x14ac:dyDescent="0.25">
      <c r="A75" t="s">
        <v>18</v>
      </c>
      <c r="B75" t="s">
        <v>68</v>
      </c>
      <c r="C75" t="s">
        <v>10</v>
      </c>
      <c r="D75" t="s">
        <v>69</v>
      </c>
      <c r="E75" t="s">
        <v>31</v>
      </c>
      <c r="F75">
        <v>15006.03</v>
      </c>
    </row>
    <row r="76" spans="1:6" x14ac:dyDescent="0.25">
      <c r="A76" t="s">
        <v>18</v>
      </c>
      <c r="B76" t="s">
        <v>87</v>
      </c>
      <c r="C76" t="s">
        <v>88</v>
      </c>
      <c r="D76" t="s">
        <v>10</v>
      </c>
      <c r="E76" t="s">
        <v>30</v>
      </c>
      <c r="F76">
        <v>15572.04</v>
      </c>
    </row>
    <row r="77" spans="1:6" x14ac:dyDescent="0.25">
      <c r="A77" t="s">
        <v>18</v>
      </c>
      <c r="B77" t="s">
        <v>66</v>
      </c>
      <c r="C77" t="s">
        <v>10</v>
      </c>
      <c r="D77" t="s">
        <v>67</v>
      </c>
      <c r="E77" t="s">
        <v>31</v>
      </c>
      <c r="F77">
        <v>90242.590000000011</v>
      </c>
    </row>
    <row r="78" spans="1:6" x14ac:dyDescent="0.25">
      <c r="A78" t="s">
        <v>18</v>
      </c>
      <c r="B78" t="s">
        <v>75</v>
      </c>
      <c r="C78" t="s">
        <v>10</v>
      </c>
      <c r="D78" t="s">
        <v>76</v>
      </c>
      <c r="E78" t="s">
        <v>31</v>
      </c>
      <c r="F78">
        <v>764.84999999999991</v>
      </c>
    </row>
    <row r="79" spans="1:6" x14ac:dyDescent="0.25">
      <c r="A79" t="s">
        <v>18</v>
      </c>
      <c r="B79" t="s">
        <v>65</v>
      </c>
      <c r="C79" t="s">
        <v>8</v>
      </c>
      <c r="D79" t="s">
        <v>10</v>
      </c>
      <c r="E79" t="s">
        <v>30</v>
      </c>
      <c r="F79">
        <v>122369.76000000001</v>
      </c>
    </row>
    <row r="80" spans="1:6" x14ac:dyDescent="0.25">
      <c r="A80" t="s">
        <v>18</v>
      </c>
      <c r="B80" t="s">
        <v>72</v>
      </c>
      <c r="C80" t="s">
        <v>10</v>
      </c>
      <c r="D80" t="s">
        <v>8</v>
      </c>
      <c r="E80" t="s">
        <v>31</v>
      </c>
      <c r="F80">
        <v>19302.7</v>
      </c>
    </row>
    <row r="81" spans="1:6" x14ac:dyDescent="0.25">
      <c r="A81" t="s">
        <v>18</v>
      </c>
      <c r="B81" t="s">
        <v>77</v>
      </c>
      <c r="C81" t="s">
        <v>10</v>
      </c>
      <c r="D81" t="s">
        <v>8</v>
      </c>
      <c r="E81" t="s">
        <v>31</v>
      </c>
      <c r="F81">
        <v>1302.4999999999998</v>
      </c>
    </row>
    <row r="82" spans="1:6" x14ac:dyDescent="0.25">
      <c r="A82" t="s">
        <v>18</v>
      </c>
      <c r="B82" t="s">
        <v>62</v>
      </c>
      <c r="C82" t="s">
        <v>63</v>
      </c>
      <c r="D82" t="s">
        <v>10</v>
      </c>
      <c r="E82" t="s">
        <v>30</v>
      </c>
      <c r="F82">
        <v>10828.99</v>
      </c>
    </row>
    <row r="83" spans="1:6" x14ac:dyDescent="0.25">
      <c r="A83" t="s">
        <v>18</v>
      </c>
      <c r="B83" t="s">
        <v>73</v>
      </c>
      <c r="C83" t="s">
        <v>10</v>
      </c>
      <c r="D83" t="s">
        <v>74</v>
      </c>
      <c r="E83" t="s">
        <v>31</v>
      </c>
      <c r="F83">
        <v>8831.3900000000012</v>
      </c>
    </row>
    <row r="84" spans="1:6" x14ac:dyDescent="0.25">
      <c r="A84" t="s">
        <v>18</v>
      </c>
      <c r="B84" t="s">
        <v>85</v>
      </c>
      <c r="C84" t="s">
        <v>61</v>
      </c>
      <c r="D84" t="s">
        <v>9</v>
      </c>
      <c r="E84" t="s">
        <v>30</v>
      </c>
      <c r="F84">
        <v>8780.7000000000007</v>
      </c>
    </row>
    <row r="85" spans="1:6" x14ac:dyDescent="0.25">
      <c r="A85" t="s">
        <v>18</v>
      </c>
      <c r="B85" t="s">
        <v>11</v>
      </c>
      <c r="C85" t="s">
        <v>32</v>
      </c>
      <c r="D85" t="s">
        <v>10</v>
      </c>
      <c r="E85" t="s">
        <v>30</v>
      </c>
      <c r="F85">
        <v>2369.5399999999995</v>
      </c>
    </row>
    <row r="86" spans="1:6" x14ac:dyDescent="0.25">
      <c r="A86" t="s">
        <v>18</v>
      </c>
      <c r="B86" t="s">
        <v>78</v>
      </c>
      <c r="C86" t="s">
        <v>10</v>
      </c>
      <c r="D86" t="s">
        <v>79</v>
      </c>
      <c r="E86" t="s">
        <v>31</v>
      </c>
      <c r="F86">
        <v>821.21999999999991</v>
      </c>
    </row>
    <row r="87" spans="1:6" x14ac:dyDescent="0.25">
      <c r="A87" t="s">
        <v>18</v>
      </c>
      <c r="B87" t="s">
        <v>70</v>
      </c>
      <c r="C87" t="s">
        <v>71</v>
      </c>
      <c r="D87" t="s">
        <v>10</v>
      </c>
      <c r="E87" t="s">
        <v>30</v>
      </c>
      <c r="F87">
        <v>2439.6099999999997</v>
      </c>
    </row>
    <row r="88" spans="1:6" x14ac:dyDescent="0.25">
      <c r="A88" t="s">
        <v>18</v>
      </c>
      <c r="B88" t="s">
        <v>92</v>
      </c>
      <c r="C88" t="s">
        <v>93</v>
      </c>
      <c r="D88" t="s">
        <v>10</v>
      </c>
      <c r="E88" t="s">
        <v>30</v>
      </c>
      <c r="F88">
        <v>1.85</v>
      </c>
    </row>
    <row r="89" spans="1:6" x14ac:dyDescent="0.25">
      <c r="A89" t="s">
        <v>18</v>
      </c>
      <c r="B89" t="s">
        <v>17</v>
      </c>
      <c r="C89" t="s">
        <v>10</v>
      </c>
      <c r="D89" t="s">
        <v>8</v>
      </c>
      <c r="E89" t="s">
        <v>31</v>
      </c>
      <c r="F89">
        <v>980.35</v>
      </c>
    </row>
    <row r="90" spans="1:6" x14ac:dyDescent="0.25">
      <c r="A90" t="s">
        <v>18</v>
      </c>
      <c r="B90" t="s">
        <v>80</v>
      </c>
      <c r="C90" t="s">
        <v>10</v>
      </c>
      <c r="D90" t="s">
        <v>81</v>
      </c>
      <c r="E90" t="s">
        <v>31</v>
      </c>
      <c r="F90">
        <v>1338.15</v>
      </c>
    </row>
    <row r="91" spans="1:6" x14ac:dyDescent="0.25">
      <c r="A91" t="s">
        <v>18</v>
      </c>
      <c r="B91" t="s">
        <v>64</v>
      </c>
      <c r="C91" t="s">
        <v>33</v>
      </c>
      <c r="D91" t="s">
        <v>10</v>
      </c>
      <c r="E91" t="s">
        <v>30</v>
      </c>
      <c r="F91">
        <v>298.33999999999997</v>
      </c>
    </row>
    <row r="92" spans="1:6" x14ac:dyDescent="0.25">
      <c r="A92" t="s">
        <v>18</v>
      </c>
      <c r="B92" t="s">
        <v>89</v>
      </c>
      <c r="C92" t="s">
        <v>10</v>
      </c>
      <c r="D92" t="s">
        <v>90</v>
      </c>
      <c r="E92" t="s">
        <v>31</v>
      </c>
      <c r="F92">
        <v>1790</v>
      </c>
    </row>
    <row r="93" spans="1:6" x14ac:dyDescent="0.25">
      <c r="A93" t="s">
        <v>18</v>
      </c>
      <c r="B93" t="s">
        <v>83</v>
      </c>
      <c r="C93" t="s">
        <v>10</v>
      </c>
      <c r="D93" t="s">
        <v>84</v>
      </c>
      <c r="E93" t="s">
        <v>31</v>
      </c>
      <c r="F93">
        <v>564.19000000000005</v>
      </c>
    </row>
    <row r="94" spans="1:6" x14ac:dyDescent="0.25">
      <c r="A94" t="s">
        <v>19</v>
      </c>
      <c r="B94" t="s">
        <v>65</v>
      </c>
      <c r="C94" t="s">
        <v>8</v>
      </c>
      <c r="D94" t="s">
        <v>10</v>
      </c>
      <c r="E94" t="s">
        <v>30</v>
      </c>
      <c r="F94">
        <v>105843.72000000003</v>
      </c>
    </row>
    <row r="95" spans="1:6" x14ac:dyDescent="0.25">
      <c r="A95" t="s">
        <v>19</v>
      </c>
      <c r="B95" t="s">
        <v>62</v>
      </c>
      <c r="C95" t="s">
        <v>63</v>
      </c>
      <c r="D95" t="s">
        <v>10</v>
      </c>
      <c r="E95" t="s">
        <v>30</v>
      </c>
      <c r="F95">
        <v>8602.7700000000023</v>
      </c>
    </row>
    <row r="96" spans="1:6" x14ac:dyDescent="0.25">
      <c r="A96" t="s">
        <v>19</v>
      </c>
      <c r="B96" t="s">
        <v>6</v>
      </c>
      <c r="C96" t="s">
        <v>10</v>
      </c>
      <c r="D96" t="s">
        <v>7</v>
      </c>
      <c r="E96" t="s">
        <v>31</v>
      </c>
      <c r="F96">
        <v>8475.3600000000024</v>
      </c>
    </row>
    <row r="97" spans="1:6" x14ac:dyDescent="0.25">
      <c r="A97" t="s">
        <v>19</v>
      </c>
      <c r="B97" t="s">
        <v>75</v>
      </c>
      <c r="C97" t="s">
        <v>10</v>
      </c>
      <c r="D97" t="s">
        <v>76</v>
      </c>
      <c r="E97" t="s">
        <v>31</v>
      </c>
      <c r="F97">
        <v>1041.96</v>
      </c>
    </row>
    <row r="98" spans="1:6" x14ac:dyDescent="0.25">
      <c r="A98" t="s">
        <v>19</v>
      </c>
      <c r="B98" t="s">
        <v>70</v>
      </c>
      <c r="C98" t="s">
        <v>71</v>
      </c>
      <c r="D98" t="s">
        <v>10</v>
      </c>
      <c r="E98" t="s">
        <v>30</v>
      </c>
      <c r="F98">
        <v>6704.2000000000007</v>
      </c>
    </row>
    <row r="99" spans="1:6" x14ac:dyDescent="0.25">
      <c r="A99" t="s">
        <v>19</v>
      </c>
      <c r="B99" t="s">
        <v>66</v>
      </c>
      <c r="C99" t="s">
        <v>10</v>
      </c>
      <c r="D99" t="s">
        <v>67</v>
      </c>
      <c r="E99" t="s">
        <v>31</v>
      </c>
      <c r="F99">
        <v>72782.189999999988</v>
      </c>
    </row>
    <row r="100" spans="1:6" x14ac:dyDescent="0.25">
      <c r="A100" t="s">
        <v>19</v>
      </c>
      <c r="B100" t="s">
        <v>85</v>
      </c>
      <c r="C100" t="s">
        <v>61</v>
      </c>
      <c r="D100" t="s">
        <v>9</v>
      </c>
      <c r="E100" t="s">
        <v>30</v>
      </c>
      <c r="F100">
        <v>8275.77</v>
      </c>
    </row>
    <row r="101" spans="1:6" x14ac:dyDescent="0.25">
      <c r="A101" t="s">
        <v>19</v>
      </c>
      <c r="B101" t="s">
        <v>72</v>
      </c>
      <c r="C101" t="s">
        <v>10</v>
      </c>
      <c r="D101" t="s">
        <v>8</v>
      </c>
      <c r="E101" t="s">
        <v>31</v>
      </c>
      <c r="F101">
        <v>11485.049999999996</v>
      </c>
    </row>
    <row r="102" spans="1:6" x14ac:dyDescent="0.25">
      <c r="A102" t="s">
        <v>19</v>
      </c>
      <c r="B102" t="s">
        <v>77</v>
      </c>
      <c r="C102" t="s">
        <v>10</v>
      </c>
      <c r="D102" t="s">
        <v>8</v>
      </c>
      <c r="E102" t="s">
        <v>31</v>
      </c>
      <c r="F102">
        <v>1295.8800000000001</v>
      </c>
    </row>
    <row r="103" spans="1:6" x14ac:dyDescent="0.25">
      <c r="A103" t="s">
        <v>19</v>
      </c>
      <c r="B103" t="s">
        <v>78</v>
      </c>
      <c r="C103" t="s">
        <v>10</v>
      </c>
      <c r="D103" t="s">
        <v>79</v>
      </c>
      <c r="E103" t="s">
        <v>31</v>
      </c>
      <c r="F103">
        <v>2347.5600000000004</v>
      </c>
    </row>
    <row r="104" spans="1:6" x14ac:dyDescent="0.25">
      <c r="A104" t="s">
        <v>19</v>
      </c>
      <c r="B104" t="s">
        <v>68</v>
      </c>
      <c r="C104" t="s">
        <v>10</v>
      </c>
      <c r="D104" t="s">
        <v>69</v>
      </c>
      <c r="E104" t="s">
        <v>31</v>
      </c>
      <c r="F104">
        <v>7580.0399999999991</v>
      </c>
    </row>
    <row r="105" spans="1:6" x14ac:dyDescent="0.25">
      <c r="A105" t="s">
        <v>19</v>
      </c>
      <c r="B105" t="s">
        <v>73</v>
      </c>
      <c r="C105" t="s">
        <v>10</v>
      </c>
      <c r="D105" t="s">
        <v>74</v>
      </c>
      <c r="E105" t="s">
        <v>31</v>
      </c>
      <c r="F105">
        <v>8828.9699999999975</v>
      </c>
    </row>
    <row r="106" spans="1:6" x14ac:dyDescent="0.25">
      <c r="A106" t="s">
        <v>19</v>
      </c>
      <c r="B106" t="s">
        <v>4</v>
      </c>
      <c r="C106" t="s">
        <v>10</v>
      </c>
      <c r="D106" t="s">
        <v>5</v>
      </c>
      <c r="E106" t="s">
        <v>31</v>
      </c>
      <c r="F106">
        <v>2.29</v>
      </c>
    </row>
    <row r="107" spans="1:6" x14ac:dyDescent="0.25">
      <c r="A107" t="s">
        <v>19</v>
      </c>
      <c r="B107" t="s">
        <v>11</v>
      </c>
      <c r="C107" t="s">
        <v>32</v>
      </c>
      <c r="D107" t="s">
        <v>10</v>
      </c>
      <c r="E107" t="s">
        <v>30</v>
      </c>
      <c r="F107">
        <v>956.93000000000006</v>
      </c>
    </row>
    <row r="108" spans="1:6" x14ac:dyDescent="0.25">
      <c r="A108" t="s">
        <v>19</v>
      </c>
      <c r="B108" t="s">
        <v>17</v>
      </c>
      <c r="C108" t="s">
        <v>10</v>
      </c>
      <c r="D108" t="s">
        <v>8</v>
      </c>
      <c r="E108" t="s">
        <v>31</v>
      </c>
      <c r="F108">
        <v>1821.29</v>
      </c>
    </row>
    <row r="109" spans="1:6" x14ac:dyDescent="0.25">
      <c r="A109" t="s">
        <v>19</v>
      </c>
      <c r="B109" t="s">
        <v>80</v>
      </c>
      <c r="C109" t="s">
        <v>10</v>
      </c>
      <c r="D109" t="s">
        <v>81</v>
      </c>
      <c r="E109" t="s">
        <v>31</v>
      </c>
      <c r="F109">
        <v>4872.3599999999997</v>
      </c>
    </row>
    <row r="110" spans="1:6" x14ac:dyDescent="0.25">
      <c r="A110" t="s">
        <v>19</v>
      </c>
      <c r="B110" t="s">
        <v>64</v>
      </c>
      <c r="C110" t="s">
        <v>33</v>
      </c>
      <c r="D110" t="s">
        <v>10</v>
      </c>
      <c r="E110" t="s">
        <v>30</v>
      </c>
      <c r="F110">
        <v>546.94000000000005</v>
      </c>
    </row>
    <row r="111" spans="1:6" x14ac:dyDescent="0.25">
      <c r="A111" t="s">
        <v>19</v>
      </c>
      <c r="B111" t="s">
        <v>83</v>
      </c>
      <c r="C111" t="s">
        <v>10</v>
      </c>
      <c r="D111" t="s">
        <v>84</v>
      </c>
      <c r="E111" t="s">
        <v>31</v>
      </c>
      <c r="F111">
        <v>331.61</v>
      </c>
    </row>
    <row r="112" spans="1:6" x14ac:dyDescent="0.25">
      <c r="A112" t="s">
        <v>19</v>
      </c>
      <c r="B112" t="s">
        <v>82</v>
      </c>
      <c r="C112" t="s">
        <v>10</v>
      </c>
      <c r="D112" t="s">
        <v>8</v>
      </c>
      <c r="E112" t="s">
        <v>31</v>
      </c>
      <c r="F112">
        <v>1790</v>
      </c>
    </row>
    <row r="113" spans="1:6" x14ac:dyDescent="0.25">
      <c r="A113" t="s">
        <v>20</v>
      </c>
      <c r="B113" t="s">
        <v>66</v>
      </c>
      <c r="C113" t="s">
        <v>10</v>
      </c>
      <c r="D113" t="s">
        <v>67</v>
      </c>
      <c r="E113" t="s">
        <v>31</v>
      </c>
      <c r="F113">
        <v>51707.260000000017</v>
      </c>
    </row>
    <row r="114" spans="1:6" x14ac:dyDescent="0.25">
      <c r="A114" t="s">
        <v>20</v>
      </c>
      <c r="B114" t="s">
        <v>65</v>
      </c>
      <c r="C114" t="s">
        <v>8</v>
      </c>
      <c r="D114" t="s">
        <v>10</v>
      </c>
      <c r="E114" t="s">
        <v>30</v>
      </c>
      <c r="F114">
        <v>71251.210000000006</v>
      </c>
    </row>
    <row r="115" spans="1:6" x14ac:dyDescent="0.25">
      <c r="A115" t="s">
        <v>20</v>
      </c>
      <c r="B115" t="s">
        <v>62</v>
      </c>
      <c r="C115" t="s">
        <v>63</v>
      </c>
      <c r="D115" t="s">
        <v>10</v>
      </c>
      <c r="E115" t="s">
        <v>30</v>
      </c>
      <c r="F115">
        <v>5796.4</v>
      </c>
    </row>
    <row r="116" spans="1:6" x14ac:dyDescent="0.25">
      <c r="A116" t="s">
        <v>20</v>
      </c>
      <c r="B116" t="s">
        <v>6</v>
      </c>
      <c r="C116" t="s">
        <v>10</v>
      </c>
      <c r="D116" t="s">
        <v>7</v>
      </c>
      <c r="E116" t="s">
        <v>31</v>
      </c>
      <c r="F116">
        <v>6555.5200000000013</v>
      </c>
    </row>
    <row r="117" spans="1:6" x14ac:dyDescent="0.25">
      <c r="A117" t="s">
        <v>20</v>
      </c>
      <c r="B117" t="s">
        <v>68</v>
      </c>
      <c r="C117" t="s">
        <v>10</v>
      </c>
      <c r="D117" t="s">
        <v>69</v>
      </c>
      <c r="E117" t="s">
        <v>31</v>
      </c>
      <c r="F117">
        <v>4624.42</v>
      </c>
    </row>
    <row r="118" spans="1:6" x14ac:dyDescent="0.25">
      <c r="A118" t="s">
        <v>20</v>
      </c>
      <c r="B118" t="s">
        <v>85</v>
      </c>
      <c r="C118" t="s">
        <v>61</v>
      </c>
      <c r="D118" t="s">
        <v>9</v>
      </c>
      <c r="E118" t="s">
        <v>30</v>
      </c>
      <c r="F118">
        <v>5932.5799999999981</v>
      </c>
    </row>
    <row r="119" spans="1:6" x14ac:dyDescent="0.25">
      <c r="A119" t="s">
        <v>20</v>
      </c>
      <c r="B119" t="s">
        <v>14</v>
      </c>
      <c r="C119" t="s">
        <v>10</v>
      </c>
      <c r="D119" t="s">
        <v>15</v>
      </c>
      <c r="E119" t="s">
        <v>31</v>
      </c>
      <c r="F119">
        <v>405.25</v>
      </c>
    </row>
    <row r="120" spans="1:6" x14ac:dyDescent="0.25">
      <c r="A120" t="s">
        <v>20</v>
      </c>
      <c r="B120" t="s">
        <v>78</v>
      </c>
      <c r="C120" t="s">
        <v>10</v>
      </c>
      <c r="D120" t="s">
        <v>79</v>
      </c>
      <c r="E120" t="s">
        <v>31</v>
      </c>
      <c r="F120">
        <v>919.68999999999994</v>
      </c>
    </row>
    <row r="121" spans="1:6" x14ac:dyDescent="0.25">
      <c r="A121" t="s">
        <v>20</v>
      </c>
      <c r="B121" t="s">
        <v>75</v>
      </c>
      <c r="C121" t="s">
        <v>10</v>
      </c>
      <c r="D121" t="s">
        <v>76</v>
      </c>
      <c r="E121" t="s">
        <v>31</v>
      </c>
      <c r="F121">
        <v>635.74</v>
      </c>
    </row>
    <row r="122" spans="1:6" x14ac:dyDescent="0.25">
      <c r="A122" t="s">
        <v>20</v>
      </c>
      <c r="B122" t="s">
        <v>73</v>
      </c>
      <c r="C122" t="s">
        <v>10</v>
      </c>
      <c r="D122" t="s">
        <v>74</v>
      </c>
      <c r="E122" t="s">
        <v>31</v>
      </c>
      <c r="F122">
        <v>7775.6100000000015</v>
      </c>
    </row>
    <row r="123" spans="1:6" x14ac:dyDescent="0.25">
      <c r="A123" t="s">
        <v>20</v>
      </c>
      <c r="B123" t="s">
        <v>70</v>
      </c>
      <c r="C123" t="s">
        <v>71</v>
      </c>
      <c r="D123" t="s">
        <v>10</v>
      </c>
      <c r="E123" t="s">
        <v>30</v>
      </c>
      <c r="F123">
        <v>12103.7</v>
      </c>
    </row>
    <row r="124" spans="1:6" x14ac:dyDescent="0.25">
      <c r="A124" t="s">
        <v>20</v>
      </c>
      <c r="B124" t="s">
        <v>72</v>
      </c>
      <c r="C124" t="s">
        <v>10</v>
      </c>
      <c r="D124" t="s">
        <v>8</v>
      </c>
      <c r="E124" t="s">
        <v>31</v>
      </c>
      <c r="F124">
        <v>5002.3099999999995</v>
      </c>
    </row>
    <row r="125" spans="1:6" x14ac:dyDescent="0.25">
      <c r="A125" t="s">
        <v>20</v>
      </c>
      <c r="B125" t="s">
        <v>77</v>
      </c>
      <c r="C125" t="s">
        <v>10</v>
      </c>
      <c r="D125" t="s">
        <v>8</v>
      </c>
      <c r="E125" t="s">
        <v>31</v>
      </c>
      <c r="F125">
        <v>350.68</v>
      </c>
    </row>
    <row r="126" spans="1:6" x14ac:dyDescent="0.25">
      <c r="A126" t="s">
        <v>20</v>
      </c>
      <c r="B126" t="s">
        <v>11</v>
      </c>
      <c r="C126" t="s">
        <v>32</v>
      </c>
      <c r="D126" t="s">
        <v>10</v>
      </c>
      <c r="E126" t="s">
        <v>30</v>
      </c>
      <c r="F126">
        <v>675.40000000000009</v>
      </c>
    </row>
    <row r="127" spans="1:6" x14ac:dyDescent="0.25">
      <c r="A127" t="s">
        <v>20</v>
      </c>
      <c r="B127" t="s">
        <v>80</v>
      </c>
      <c r="C127" t="s">
        <v>10</v>
      </c>
      <c r="D127" t="s">
        <v>81</v>
      </c>
      <c r="E127" t="s">
        <v>31</v>
      </c>
      <c r="F127">
        <v>7439.37</v>
      </c>
    </row>
    <row r="128" spans="1:6" x14ac:dyDescent="0.25">
      <c r="A128" t="s">
        <v>20</v>
      </c>
      <c r="B128" t="s">
        <v>64</v>
      </c>
      <c r="C128" t="s">
        <v>33</v>
      </c>
      <c r="D128" t="s">
        <v>10</v>
      </c>
      <c r="E128" t="s">
        <v>30</v>
      </c>
      <c r="F128">
        <v>2477.08</v>
      </c>
    </row>
    <row r="129" spans="1:6" x14ac:dyDescent="0.25">
      <c r="A129" t="s">
        <v>20</v>
      </c>
      <c r="B129" t="s">
        <v>83</v>
      </c>
      <c r="C129" t="s">
        <v>10</v>
      </c>
      <c r="D129" t="s">
        <v>84</v>
      </c>
      <c r="E129" t="s">
        <v>31</v>
      </c>
      <c r="F129">
        <v>1362.9399999999998</v>
      </c>
    </row>
    <row r="130" spans="1:6" x14ac:dyDescent="0.25">
      <c r="A130" t="s">
        <v>20</v>
      </c>
      <c r="B130" t="s">
        <v>82</v>
      </c>
      <c r="C130" t="s">
        <v>10</v>
      </c>
      <c r="D130" t="s">
        <v>8</v>
      </c>
      <c r="E130" t="s">
        <v>31</v>
      </c>
      <c r="F130">
        <v>5525</v>
      </c>
    </row>
    <row r="131" spans="1:6" x14ac:dyDescent="0.25">
      <c r="A131" t="s">
        <v>21</v>
      </c>
      <c r="B131" t="s">
        <v>65</v>
      </c>
      <c r="C131" t="s">
        <v>8</v>
      </c>
      <c r="D131" t="s">
        <v>10</v>
      </c>
      <c r="E131" t="s">
        <v>30</v>
      </c>
      <c r="F131">
        <v>113965.68999999997</v>
      </c>
    </row>
    <row r="132" spans="1:6" x14ac:dyDescent="0.25">
      <c r="A132" t="s">
        <v>21</v>
      </c>
      <c r="B132" t="s">
        <v>62</v>
      </c>
      <c r="C132" t="s">
        <v>63</v>
      </c>
      <c r="D132" t="s">
        <v>10</v>
      </c>
      <c r="E132" t="s">
        <v>30</v>
      </c>
      <c r="F132">
        <v>10079.909999999998</v>
      </c>
    </row>
    <row r="133" spans="1:6" x14ac:dyDescent="0.25">
      <c r="A133" t="s">
        <v>21</v>
      </c>
      <c r="B133" t="s">
        <v>6</v>
      </c>
      <c r="C133" t="s">
        <v>10</v>
      </c>
      <c r="D133" t="s">
        <v>7</v>
      </c>
      <c r="E133" t="s">
        <v>31</v>
      </c>
      <c r="F133">
        <v>9881.4900000000052</v>
      </c>
    </row>
    <row r="134" spans="1:6" x14ac:dyDescent="0.25">
      <c r="A134" t="s">
        <v>21</v>
      </c>
      <c r="B134" t="s">
        <v>68</v>
      </c>
      <c r="C134" t="s">
        <v>10</v>
      </c>
      <c r="D134" t="s">
        <v>69</v>
      </c>
      <c r="E134" t="s">
        <v>31</v>
      </c>
      <c r="F134">
        <v>7684.42</v>
      </c>
    </row>
    <row r="135" spans="1:6" x14ac:dyDescent="0.25">
      <c r="A135" t="s">
        <v>21</v>
      </c>
      <c r="B135" t="s">
        <v>75</v>
      </c>
      <c r="C135" t="s">
        <v>10</v>
      </c>
      <c r="D135" t="s">
        <v>76</v>
      </c>
      <c r="E135" t="s">
        <v>31</v>
      </c>
      <c r="F135">
        <v>1241.22</v>
      </c>
    </row>
    <row r="136" spans="1:6" x14ac:dyDescent="0.25">
      <c r="A136" t="s">
        <v>21</v>
      </c>
      <c r="B136" t="s">
        <v>73</v>
      </c>
      <c r="C136" t="s">
        <v>10</v>
      </c>
      <c r="D136" t="s">
        <v>74</v>
      </c>
      <c r="E136" t="s">
        <v>31</v>
      </c>
      <c r="F136">
        <v>7298.48</v>
      </c>
    </row>
    <row r="137" spans="1:6" x14ac:dyDescent="0.25">
      <c r="A137" t="s">
        <v>21</v>
      </c>
      <c r="B137" t="s">
        <v>66</v>
      </c>
      <c r="C137" t="s">
        <v>10</v>
      </c>
      <c r="D137" t="s">
        <v>67</v>
      </c>
      <c r="E137" t="s">
        <v>31</v>
      </c>
      <c r="F137">
        <v>87952.21</v>
      </c>
    </row>
    <row r="138" spans="1:6" x14ac:dyDescent="0.25">
      <c r="A138" t="s">
        <v>21</v>
      </c>
      <c r="B138" t="s">
        <v>85</v>
      </c>
      <c r="C138" t="s">
        <v>61</v>
      </c>
      <c r="D138" t="s">
        <v>9</v>
      </c>
      <c r="E138" t="s">
        <v>30</v>
      </c>
      <c r="F138">
        <v>9457.0399999999991</v>
      </c>
    </row>
    <row r="139" spans="1:6" x14ac:dyDescent="0.25">
      <c r="A139" t="s">
        <v>21</v>
      </c>
      <c r="B139" t="s">
        <v>72</v>
      </c>
      <c r="C139" t="s">
        <v>10</v>
      </c>
      <c r="D139" t="s">
        <v>8</v>
      </c>
      <c r="E139" t="s">
        <v>31</v>
      </c>
      <c r="F139">
        <v>8592.3999999999978</v>
      </c>
    </row>
    <row r="140" spans="1:6" x14ac:dyDescent="0.25">
      <c r="A140" t="s">
        <v>21</v>
      </c>
      <c r="B140" t="s">
        <v>77</v>
      </c>
      <c r="C140" t="s">
        <v>10</v>
      </c>
      <c r="D140" t="s">
        <v>8</v>
      </c>
      <c r="E140" t="s">
        <v>31</v>
      </c>
      <c r="F140">
        <v>27.19</v>
      </c>
    </row>
    <row r="141" spans="1:6" x14ac:dyDescent="0.25">
      <c r="A141" t="s">
        <v>21</v>
      </c>
      <c r="B141" t="s">
        <v>78</v>
      </c>
      <c r="C141" t="s">
        <v>10</v>
      </c>
      <c r="D141" t="s">
        <v>79</v>
      </c>
      <c r="E141" t="s">
        <v>31</v>
      </c>
      <c r="F141">
        <v>2195.4599999999996</v>
      </c>
    </row>
    <row r="142" spans="1:6" x14ac:dyDescent="0.25">
      <c r="A142" t="s">
        <v>21</v>
      </c>
      <c r="B142" t="s">
        <v>11</v>
      </c>
      <c r="C142" t="s">
        <v>32</v>
      </c>
      <c r="D142" t="s">
        <v>10</v>
      </c>
      <c r="E142" t="s">
        <v>30</v>
      </c>
      <c r="F142">
        <v>98.04</v>
      </c>
    </row>
    <row r="143" spans="1:6" x14ac:dyDescent="0.25">
      <c r="A143" t="s">
        <v>21</v>
      </c>
      <c r="B143" t="s">
        <v>70</v>
      </c>
      <c r="C143" t="s">
        <v>71</v>
      </c>
      <c r="D143" t="s">
        <v>10</v>
      </c>
      <c r="E143" t="s">
        <v>30</v>
      </c>
      <c r="F143">
        <v>11470.12</v>
      </c>
    </row>
    <row r="144" spans="1:6" x14ac:dyDescent="0.25">
      <c r="A144" t="s">
        <v>21</v>
      </c>
      <c r="B144" t="s">
        <v>80</v>
      </c>
      <c r="C144" t="s">
        <v>10</v>
      </c>
      <c r="D144" t="s">
        <v>81</v>
      </c>
      <c r="E144" t="s">
        <v>31</v>
      </c>
      <c r="F144">
        <v>5099.03</v>
      </c>
    </row>
    <row r="145" spans="1:6" x14ac:dyDescent="0.25">
      <c r="A145" t="s">
        <v>21</v>
      </c>
      <c r="B145" t="s">
        <v>64</v>
      </c>
      <c r="C145" t="s">
        <v>33</v>
      </c>
      <c r="D145" t="s">
        <v>10</v>
      </c>
      <c r="E145" t="s">
        <v>30</v>
      </c>
      <c r="F145">
        <v>3549.8900000000003</v>
      </c>
    </row>
    <row r="146" spans="1:6" x14ac:dyDescent="0.25">
      <c r="A146" t="s">
        <v>21</v>
      </c>
      <c r="B146" t="s">
        <v>83</v>
      </c>
      <c r="C146" t="s">
        <v>10</v>
      </c>
      <c r="D146" t="s">
        <v>84</v>
      </c>
      <c r="E146" t="s">
        <v>31</v>
      </c>
      <c r="F146">
        <v>6640.05</v>
      </c>
    </row>
    <row r="147" spans="1:6" x14ac:dyDescent="0.25">
      <c r="A147" t="s">
        <v>21</v>
      </c>
      <c r="B147" t="s">
        <v>101</v>
      </c>
      <c r="C147" t="s">
        <v>33</v>
      </c>
      <c r="D147" t="s">
        <v>10</v>
      </c>
      <c r="E147" t="s">
        <v>30</v>
      </c>
      <c r="F147">
        <v>258.43</v>
      </c>
    </row>
    <row r="148" spans="1:6" x14ac:dyDescent="0.25">
      <c r="A148" t="s">
        <v>21</v>
      </c>
      <c r="B148" t="s">
        <v>82</v>
      </c>
      <c r="C148" t="s">
        <v>10</v>
      </c>
      <c r="D148" t="s">
        <v>8</v>
      </c>
      <c r="E148" t="s">
        <v>31</v>
      </c>
      <c r="F148">
        <v>2810.13</v>
      </c>
    </row>
    <row r="149" spans="1:6" x14ac:dyDescent="0.25">
      <c r="A149" t="s">
        <v>22</v>
      </c>
      <c r="B149" t="s">
        <v>65</v>
      </c>
      <c r="C149" t="s">
        <v>8</v>
      </c>
      <c r="D149" t="s">
        <v>10</v>
      </c>
      <c r="E149" t="s">
        <v>30</v>
      </c>
      <c r="F149">
        <v>94009.919999999969</v>
      </c>
    </row>
    <row r="150" spans="1:6" x14ac:dyDescent="0.25">
      <c r="A150" t="s">
        <v>22</v>
      </c>
      <c r="B150" t="s">
        <v>62</v>
      </c>
      <c r="C150" t="s">
        <v>63</v>
      </c>
      <c r="D150" t="s">
        <v>10</v>
      </c>
      <c r="E150" t="s">
        <v>30</v>
      </c>
      <c r="F150">
        <v>12108.390000000001</v>
      </c>
    </row>
    <row r="151" spans="1:6" x14ac:dyDescent="0.25">
      <c r="A151" t="s">
        <v>22</v>
      </c>
      <c r="B151" t="s">
        <v>6</v>
      </c>
      <c r="C151" t="s">
        <v>10</v>
      </c>
      <c r="D151" t="s">
        <v>7</v>
      </c>
      <c r="E151" t="s">
        <v>31</v>
      </c>
      <c r="F151">
        <v>8628.0999999999985</v>
      </c>
    </row>
    <row r="152" spans="1:6" x14ac:dyDescent="0.25">
      <c r="A152" t="s">
        <v>22</v>
      </c>
      <c r="B152" t="s">
        <v>68</v>
      </c>
      <c r="C152" t="s">
        <v>10</v>
      </c>
      <c r="D152" t="s">
        <v>69</v>
      </c>
      <c r="E152" t="s">
        <v>31</v>
      </c>
      <c r="F152">
        <v>6567.1199999999981</v>
      </c>
    </row>
    <row r="153" spans="1:6" x14ac:dyDescent="0.25">
      <c r="A153" t="s">
        <v>22</v>
      </c>
      <c r="B153" t="s">
        <v>75</v>
      </c>
      <c r="C153" t="s">
        <v>10</v>
      </c>
      <c r="D153" t="s">
        <v>76</v>
      </c>
      <c r="E153" t="s">
        <v>31</v>
      </c>
      <c r="F153">
        <v>458.02</v>
      </c>
    </row>
    <row r="154" spans="1:6" x14ac:dyDescent="0.25">
      <c r="A154" t="s">
        <v>22</v>
      </c>
      <c r="B154" t="s">
        <v>70</v>
      </c>
      <c r="C154" t="s">
        <v>71</v>
      </c>
      <c r="D154" t="s">
        <v>10</v>
      </c>
      <c r="E154" t="s">
        <v>30</v>
      </c>
      <c r="F154">
        <v>6949.5700000000006</v>
      </c>
    </row>
    <row r="155" spans="1:6" x14ac:dyDescent="0.25">
      <c r="A155" t="s">
        <v>22</v>
      </c>
      <c r="B155" t="s">
        <v>73</v>
      </c>
      <c r="C155" t="s">
        <v>10</v>
      </c>
      <c r="D155" t="s">
        <v>74</v>
      </c>
      <c r="E155" t="s">
        <v>31</v>
      </c>
      <c r="F155">
        <v>8591.1600000000017</v>
      </c>
    </row>
    <row r="156" spans="1:6" x14ac:dyDescent="0.25">
      <c r="A156" t="s">
        <v>22</v>
      </c>
      <c r="B156" t="s">
        <v>66</v>
      </c>
      <c r="C156" t="s">
        <v>10</v>
      </c>
      <c r="D156" t="s">
        <v>67</v>
      </c>
      <c r="E156" t="s">
        <v>31</v>
      </c>
      <c r="F156">
        <v>73235.59</v>
      </c>
    </row>
    <row r="157" spans="1:6" x14ac:dyDescent="0.25">
      <c r="A157" t="s">
        <v>22</v>
      </c>
      <c r="B157" t="s">
        <v>85</v>
      </c>
      <c r="C157" t="s">
        <v>61</v>
      </c>
      <c r="D157" t="s">
        <v>9</v>
      </c>
      <c r="E157" t="s">
        <v>30</v>
      </c>
      <c r="F157">
        <v>7912.1000000000013</v>
      </c>
    </row>
    <row r="158" spans="1:6" x14ac:dyDescent="0.25">
      <c r="A158" t="s">
        <v>22</v>
      </c>
      <c r="B158" t="s">
        <v>78</v>
      </c>
      <c r="C158" t="s">
        <v>10</v>
      </c>
      <c r="D158" t="s">
        <v>79</v>
      </c>
      <c r="E158" t="s">
        <v>31</v>
      </c>
      <c r="F158">
        <v>1631.4000000000005</v>
      </c>
    </row>
    <row r="159" spans="1:6" x14ac:dyDescent="0.25">
      <c r="A159" t="s">
        <v>22</v>
      </c>
      <c r="B159" t="s">
        <v>72</v>
      </c>
      <c r="C159" t="s">
        <v>10</v>
      </c>
      <c r="D159" t="s">
        <v>8</v>
      </c>
      <c r="E159" t="s">
        <v>31</v>
      </c>
      <c r="F159">
        <v>6147.25</v>
      </c>
    </row>
    <row r="160" spans="1:6" x14ac:dyDescent="0.25">
      <c r="A160" t="s">
        <v>22</v>
      </c>
      <c r="B160" t="s">
        <v>11</v>
      </c>
      <c r="C160" t="s">
        <v>32</v>
      </c>
      <c r="D160" t="s">
        <v>10</v>
      </c>
      <c r="E160" t="s">
        <v>30</v>
      </c>
      <c r="F160">
        <v>213.51</v>
      </c>
    </row>
    <row r="161" spans="1:6" x14ac:dyDescent="0.25">
      <c r="A161" t="s">
        <v>22</v>
      </c>
      <c r="B161" t="s">
        <v>4</v>
      </c>
      <c r="C161" t="s">
        <v>10</v>
      </c>
      <c r="D161" t="s">
        <v>5</v>
      </c>
      <c r="E161" t="s">
        <v>31</v>
      </c>
      <c r="F161">
        <v>32.130000000000003</v>
      </c>
    </row>
    <row r="162" spans="1:6" x14ac:dyDescent="0.25">
      <c r="A162" t="s">
        <v>22</v>
      </c>
      <c r="B162" t="s">
        <v>80</v>
      </c>
      <c r="C162" t="s">
        <v>10</v>
      </c>
      <c r="D162" t="s">
        <v>81</v>
      </c>
      <c r="E162" t="s">
        <v>31</v>
      </c>
      <c r="F162">
        <v>4148.8900000000003</v>
      </c>
    </row>
    <row r="163" spans="1:6" x14ac:dyDescent="0.25">
      <c r="A163" t="s">
        <v>22</v>
      </c>
      <c r="B163" t="s">
        <v>64</v>
      </c>
      <c r="C163" t="s">
        <v>33</v>
      </c>
      <c r="D163" t="s">
        <v>10</v>
      </c>
      <c r="E163" t="s">
        <v>30</v>
      </c>
      <c r="F163">
        <v>1264.5999999999999</v>
      </c>
    </row>
    <row r="164" spans="1:6" x14ac:dyDescent="0.25">
      <c r="A164" t="s">
        <v>22</v>
      </c>
      <c r="B164" t="s">
        <v>83</v>
      </c>
      <c r="C164" t="s">
        <v>10</v>
      </c>
      <c r="D164" t="s">
        <v>84</v>
      </c>
      <c r="E164" t="s">
        <v>31</v>
      </c>
      <c r="F164">
        <v>2506.96</v>
      </c>
    </row>
    <row r="165" spans="1:6" x14ac:dyDescent="0.25">
      <c r="A165" t="s">
        <v>22</v>
      </c>
      <c r="B165" t="s">
        <v>89</v>
      </c>
      <c r="C165" t="s">
        <v>10</v>
      </c>
      <c r="D165" t="s">
        <v>90</v>
      </c>
      <c r="E165" t="s">
        <v>31</v>
      </c>
      <c r="F165">
        <v>2599.37</v>
      </c>
    </row>
    <row r="166" spans="1:6" x14ac:dyDescent="0.25">
      <c r="A166" t="s">
        <v>23</v>
      </c>
      <c r="B166" t="s">
        <v>65</v>
      </c>
      <c r="C166" t="s">
        <v>8</v>
      </c>
      <c r="D166" t="s">
        <v>10</v>
      </c>
      <c r="E166" t="s">
        <v>30</v>
      </c>
      <c r="F166">
        <v>142944.90000000002</v>
      </c>
    </row>
    <row r="167" spans="1:6" x14ac:dyDescent="0.25">
      <c r="A167" t="s">
        <v>23</v>
      </c>
      <c r="B167" t="s">
        <v>62</v>
      </c>
      <c r="C167" t="s">
        <v>63</v>
      </c>
      <c r="D167" t="s">
        <v>10</v>
      </c>
      <c r="E167" t="s">
        <v>30</v>
      </c>
      <c r="F167">
        <v>12760.91</v>
      </c>
    </row>
    <row r="168" spans="1:6" x14ac:dyDescent="0.25">
      <c r="A168" t="s">
        <v>23</v>
      </c>
      <c r="B168" t="s">
        <v>6</v>
      </c>
      <c r="C168" t="s">
        <v>10</v>
      </c>
      <c r="D168" t="s">
        <v>7</v>
      </c>
      <c r="E168" t="s">
        <v>31</v>
      </c>
      <c r="F168">
        <v>11705.700000000004</v>
      </c>
    </row>
    <row r="169" spans="1:6" x14ac:dyDescent="0.25">
      <c r="A169" t="s">
        <v>23</v>
      </c>
      <c r="B169" t="s">
        <v>68</v>
      </c>
      <c r="C169" t="s">
        <v>10</v>
      </c>
      <c r="D169" t="s">
        <v>69</v>
      </c>
      <c r="E169" t="s">
        <v>31</v>
      </c>
      <c r="F169">
        <v>9917.4</v>
      </c>
    </row>
    <row r="170" spans="1:6" x14ac:dyDescent="0.25">
      <c r="A170" t="s">
        <v>23</v>
      </c>
      <c r="B170" t="s">
        <v>66</v>
      </c>
      <c r="C170" t="s">
        <v>10</v>
      </c>
      <c r="D170" t="s">
        <v>67</v>
      </c>
      <c r="E170" t="s">
        <v>31</v>
      </c>
      <c r="F170">
        <v>106988.10999999996</v>
      </c>
    </row>
    <row r="171" spans="1:6" x14ac:dyDescent="0.25">
      <c r="A171" t="s">
        <v>23</v>
      </c>
      <c r="B171" t="s">
        <v>85</v>
      </c>
      <c r="C171" t="s">
        <v>61</v>
      </c>
      <c r="D171" t="s">
        <v>9</v>
      </c>
      <c r="E171" t="s">
        <v>30</v>
      </c>
      <c r="F171">
        <v>10866.049999999997</v>
      </c>
    </row>
    <row r="172" spans="1:6" x14ac:dyDescent="0.25">
      <c r="A172" t="s">
        <v>23</v>
      </c>
      <c r="B172" t="s">
        <v>72</v>
      </c>
      <c r="C172" t="s">
        <v>10</v>
      </c>
      <c r="D172" t="s">
        <v>8</v>
      </c>
      <c r="E172" t="s">
        <v>31</v>
      </c>
      <c r="F172">
        <v>13797.549999999997</v>
      </c>
    </row>
    <row r="173" spans="1:6" x14ac:dyDescent="0.25">
      <c r="A173" t="s">
        <v>23</v>
      </c>
      <c r="B173" t="s">
        <v>73</v>
      </c>
      <c r="C173" t="s">
        <v>10</v>
      </c>
      <c r="D173" t="s">
        <v>74</v>
      </c>
      <c r="E173" t="s">
        <v>31</v>
      </c>
      <c r="F173">
        <v>8923.619999999999</v>
      </c>
    </row>
    <row r="174" spans="1:6" x14ac:dyDescent="0.25">
      <c r="A174" t="s">
        <v>23</v>
      </c>
      <c r="B174" t="s">
        <v>11</v>
      </c>
      <c r="C174" t="s">
        <v>32</v>
      </c>
      <c r="D174" t="s">
        <v>10</v>
      </c>
      <c r="E174" t="s">
        <v>30</v>
      </c>
      <c r="F174">
        <v>623.11</v>
      </c>
    </row>
    <row r="175" spans="1:6" x14ac:dyDescent="0.25">
      <c r="A175" t="s">
        <v>23</v>
      </c>
      <c r="B175" t="s">
        <v>75</v>
      </c>
      <c r="C175" t="s">
        <v>10</v>
      </c>
      <c r="D175" t="s">
        <v>76</v>
      </c>
      <c r="E175" t="s">
        <v>31</v>
      </c>
      <c r="F175">
        <v>867.88</v>
      </c>
    </row>
    <row r="176" spans="1:6" x14ac:dyDescent="0.25">
      <c r="A176" t="s">
        <v>23</v>
      </c>
      <c r="B176" t="s">
        <v>4</v>
      </c>
      <c r="C176" t="s">
        <v>10</v>
      </c>
      <c r="D176" t="s">
        <v>5</v>
      </c>
      <c r="E176" t="s">
        <v>31</v>
      </c>
      <c r="F176">
        <v>424.35</v>
      </c>
    </row>
    <row r="177" spans="1:6" x14ac:dyDescent="0.25">
      <c r="A177" t="s">
        <v>23</v>
      </c>
      <c r="B177" t="s">
        <v>78</v>
      </c>
      <c r="C177" t="s">
        <v>10</v>
      </c>
      <c r="D177" t="s">
        <v>79</v>
      </c>
      <c r="E177" t="s">
        <v>31</v>
      </c>
      <c r="F177">
        <v>700.55</v>
      </c>
    </row>
    <row r="178" spans="1:6" x14ac:dyDescent="0.25">
      <c r="A178" t="s">
        <v>23</v>
      </c>
      <c r="B178" t="s">
        <v>77</v>
      </c>
      <c r="C178" t="s">
        <v>10</v>
      </c>
      <c r="D178" t="s">
        <v>8</v>
      </c>
      <c r="E178" t="s">
        <v>31</v>
      </c>
      <c r="F178">
        <v>421.67</v>
      </c>
    </row>
    <row r="179" spans="1:6" x14ac:dyDescent="0.25">
      <c r="A179" t="s">
        <v>23</v>
      </c>
      <c r="B179" t="s">
        <v>70</v>
      </c>
      <c r="C179" t="s">
        <v>71</v>
      </c>
      <c r="D179" t="s">
        <v>10</v>
      </c>
      <c r="E179" t="s">
        <v>30</v>
      </c>
      <c r="F179">
        <v>7152.82</v>
      </c>
    </row>
    <row r="180" spans="1:6" x14ac:dyDescent="0.25">
      <c r="A180" t="s">
        <v>23</v>
      </c>
      <c r="B180" t="s">
        <v>80</v>
      </c>
      <c r="C180" t="s">
        <v>10</v>
      </c>
      <c r="D180" t="s">
        <v>81</v>
      </c>
      <c r="E180" t="s">
        <v>31</v>
      </c>
      <c r="F180">
        <v>3786.88</v>
      </c>
    </row>
    <row r="181" spans="1:6" x14ac:dyDescent="0.25">
      <c r="A181" t="s">
        <v>23</v>
      </c>
      <c r="B181" t="s">
        <v>89</v>
      </c>
      <c r="C181" t="s">
        <v>10</v>
      </c>
      <c r="D181" t="s">
        <v>90</v>
      </c>
      <c r="E181" t="s">
        <v>31</v>
      </c>
      <c r="F181">
        <v>1374.15</v>
      </c>
    </row>
    <row r="182" spans="1:6" x14ac:dyDescent="0.25">
      <c r="A182" t="s">
        <v>23</v>
      </c>
      <c r="B182" t="s">
        <v>43</v>
      </c>
      <c r="C182" t="s">
        <v>33</v>
      </c>
      <c r="D182" t="s">
        <v>10</v>
      </c>
      <c r="E182" t="s">
        <v>30</v>
      </c>
      <c r="F182">
        <v>2135.5199999999995</v>
      </c>
    </row>
    <row r="183" spans="1:6" x14ac:dyDescent="0.25">
      <c r="A183" t="s">
        <v>23</v>
      </c>
      <c r="B183" t="s">
        <v>83</v>
      </c>
      <c r="C183" t="s">
        <v>10</v>
      </c>
      <c r="D183" t="s">
        <v>84</v>
      </c>
      <c r="E183" t="s">
        <v>31</v>
      </c>
      <c r="F183">
        <v>6709.4000000000005</v>
      </c>
    </row>
    <row r="184" spans="1:6" x14ac:dyDescent="0.25">
      <c r="A184" t="s">
        <v>24</v>
      </c>
      <c r="B184" t="s">
        <v>65</v>
      </c>
      <c r="C184" t="s">
        <v>8</v>
      </c>
      <c r="D184" t="s">
        <v>10</v>
      </c>
      <c r="E184" t="s">
        <v>30</v>
      </c>
      <c r="F184">
        <v>117408.95000000003</v>
      </c>
    </row>
    <row r="185" spans="1:6" x14ac:dyDescent="0.25">
      <c r="A185" t="s">
        <v>24</v>
      </c>
      <c r="B185" t="s">
        <v>62</v>
      </c>
      <c r="C185" t="s">
        <v>63</v>
      </c>
      <c r="D185" t="s">
        <v>10</v>
      </c>
      <c r="E185" t="s">
        <v>30</v>
      </c>
      <c r="F185">
        <v>10919.499999999995</v>
      </c>
    </row>
    <row r="186" spans="1:6" x14ac:dyDescent="0.25">
      <c r="A186" t="s">
        <v>24</v>
      </c>
      <c r="B186" t="s">
        <v>6</v>
      </c>
      <c r="C186" t="s">
        <v>10</v>
      </c>
      <c r="D186" t="s">
        <v>7</v>
      </c>
      <c r="E186" t="s">
        <v>31</v>
      </c>
      <c r="F186">
        <v>11210.540000000003</v>
      </c>
    </row>
    <row r="187" spans="1:6" x14ac:dyDescent="0.25">
      <c r="A187" t="s">
        <v>24</v>
      </c>
      <c r="B187" t="s">
        <v>73</v>
      </c>
      <c r="C187" t="s">
        <v>10</v>
      </c>
      <c r="D187" t="s">
        <v>74</v>
      </c>
      <c r="E187" t="s">
        <v>31</v>
      </c>
      <c r="F187">
        <v>11532.709999999997</v>
      </c>
    </row>
    <row r="188" spans="1:6" x14ac:dyDescent="0.25">
      <c r="A188" t="s">
        <v>24</v>
      </c>
      <c r="B188" t="s">
        <v>66</v>
      </c>
      <c r="C188" t="s">
        <v>10</v>
      </c>
      <c r="D188" t="s">
        <v>67</v>
      </c>
      <c r="E188" t="s">
        <v>31</v>
      </c>
      <c r="F188">
        <v>90325.879999999946</v>
      </c>
    </row>
    <row r="189" spans="1:6" x14ac:dyDescent="0.25">
      <c r="A189" t="s">
        <v>24</v>
      </c>
      <c r="B189" t="s">
        <v>91</v>
      </c>
      <c r="C189" t="s">
        <v>61</v>
      </c>
      <c r="D189" t="s">
        <v>9</v>
      </c>
      <c r="E189" t="s">
        <v>30</v>
      </c>
      <c r="F189">
        <v>9382.9699999999957</v>
      </c>
    </row>
    <row r="190" spans="1:6" x14ac:dyDescent="0.25">
      <c r="A190" t="s">
        <v>24</v>
      </c>
      <c r="B190" t="s">
        <v>68</v>
      </c>
      <c r="C190" t="s">
        <v>10</v>
      </c>
      <c r="D190" t="s">
        <v>69</v>
      </c>
      <c r="E190" t="s">
        <v>31</v>
      </c>
      <c r="F190">
        <v>5969.0199999999977</v>
      </c>
    </row>
    <row r="191" spans="1:6" x14ac:dyDescent="0.25">
      <c r="A191" t="s">
        <v>24</v>
      </c>
      <c r="B191" t="s">
        <v>72</v>
      </c>
      <c r="C191" t="s">
        <v>10</v>
      </c>
      <c r="D191" t="s">
        <v>8</v>
      </c>
      <c r="E191" t="s">
        <v>31</v>
      </c>
      <c r="F191">
        <v>6287.4899999999971</v>
      </c>
    </row>
    <row r="192" spans="1:6" x14ac:dyDescent="0.25">
      <c r="A192" t="s">
        <v>24</v>
      </c>
      <c r="B192" t="s">
        <v>77</v>
      </c>
      <c r="C192" t="s">
        <v>10</v>
      </c>
      <c r="D192" t="s">
        <v>8</v>
      </c>
      <c r="E192" t="s">
        <v>31</v>
      </c>
      <c r="F192">
        <v>0.51</v>
      </c>
    </row>
    <row r="193" spans="1:6" x14ac:dyDescent="0.25">
      <c r="A193" t="s">
        <v>24</v>
      </c>
      <c r="B193" t="s">
        <v>11</v>
      </c>
      <c r="C193" t="s">
        <v>32</v>
      </c>
      <c r="D193" t="s">
        <v>10</v>
      </c>
      <c r="E193" t="s">
        <v>30</v>
      </c>
      <c r="F193">
        <v>7396.7099999999991</v>
      </c>
    </row>
    <row r="194" spans="1:6" x14ac:dyDescent="0.25">
      <c r="A194" t="s">
        <v>24</v>
      </c>
      <c r="B194" t="s">
        <v>4</v>
      </c>
      <c r="C194" t="s">
        <v>10</v>
      </c>
      <c r="D194" t="s">
        <v>5</v>
      </c>
      <c r="E194" t="s">
        <v>31</v>
      </c>
      <c r="F194">
        <v>863.8</v>
      </c>
    </row>
    <row r="195" spans="1:6" x14ac:dyDescent="0.25">
      <c r="A195" t="s">
        <v>24</v>
      </c>
      <c r="B195" t="s">
        <v>70</v>
      </c>
      <c r="C195" t="s">
        <v>71</v>
      </c>
      <c r="D195" t="s">
        <v>10</v>
      </c>
      <c r="E195" t="s">
        <v>30</v>
      </c>
      <c r="F195">
        <v>15458.820000000002</v>
      </c>
    </row>
    <row r="196" spans="1:6" x14ac:dyDescent="0.25">
      <c r="A196" t="s">
        <v>24</v>
      </c>
      <c r="B196" t="s">
        <v>78</v>
      </c>
      <c r="C196" t="s">
        <v>10</v>
      </c>
      <c r="D196" t="s">
        <v>79</v>
      </c>
      <c r="E196" t="s">
        <v>31</v>
      </c>
      <c r="F196">
        <v>583.49</v>
      </c>
    </row>
    <row r="197" spans="1:6" x14ac:dyDescent="0.25">
      <c r="A197" t="s">
        <v>24</v>
      </c>
      <c r="B197" t="s">
        <v>75</v>
      </c>
      <c r="C197" t="s">
        <v>10</v>
      </c>
      <c r="D197" t="s">
        <v>76</v>
      </c>
      <c r="E197" t="s">
        <v>31</v>
      </c>
      <c r="F197">
        <v>167.37</v>
      </c>
    </row>
    <row r="198" spans="1:6" x14ac:dyDescent="0.25">
      <c r="A198" t="s">
        <v>24</v>
      </c>
      <c r="B198" t="s">
        <v>80</v>
      </c>
      <c r="C198" t="s">
        <v>10</v>
      </c>
      <c r="D198" t="s">
        <v>81</v>
      </c>
      <c r="E198" t="s">
        <v>31</v>
      </c>
      <c r="F198">
        <v>5306.98</v>
      </c>
    </row>
    <row r="199" spans="1:6" x14ac:dyDescent="0.25">
      <c r="A199" t="s">
        <v>24</v>
      </c>
      <c r="B199" t="s">
        <v>64</v>
      </c>
      <c r="C199" t="s">
        <v>33</v>
      </c>
      <c r="D199" t="s">
        <v>10</v>
      </c>
      <c r="E199" t="s">
        <v>30</v>
      </c>
      <c r="F199">
        <v>5614.62</v>
      </c>
    </row>
    <row r="200" spans="1:6" x14ac:dyDescent="0.25">
      <c r="A200" t="s">
        <v>24</v>
      </c>
      <c r="B200" t="s">
        <v>83</v>
      </c>
      <c r="C200" t="s">
        <v>10</v>
      </c>
      <c r="D200" t="s">
        <v>84</v>
      </c>
      <c r="E200" t="s">
        <v>31</v>
      </c>
      <c r="F200">
        <v>25802.21</v>
      </c>
    </row>
    <row r="201" spans="1:6" x14ac:dyDescent="0.25">
      <c r="A201" t="s">
        <v>24</v>
      </c>
      <c r="B201" t="s">
        <v>89</v>
      </c>
      <c r="C201" t="s">
        <v>10</v>
      </c>
      <c r="D201" t="s">
        <v>90</v>
      </c>
      <c r="E201" t="s">
        <v>31</v>
      </c>
      <c r="F201">
        <v>1427.3400000000001</v>
      </c>
    </row>
    <row r="202" spans="1:6" x14ac:dyDescent="0.25">
      <c r="A202" t="s">
        <v>24</v>
      </c>
      <c r="B202" t="s">
        <v>102</v>
      </c>
      <c r="C202" t="s">
        <v>103</v>
      </c>
      <c r="D202" t="s">
        <v>10</v>
      </c>
      <c r="E202" t="s">
        <v>30</v>
      </c>
      <c r="F202">
        <v>165.52</v>
      </c>
    </row>
    <row r="203" spans="1:6" x14ac:dyDescent="0.25">
      <c r="A203" t="s">
        <v>24</v>
      </c>
      <c r="B203" t="s">
        <v>92</v>
      </c>
      <c r="C203" t="s">
        <v>93</v>
      </c>
      <c r="D203" t="s">
        <v>10</v>
      </c>
      <c r="E203" t="s">
        <v>30</v>
      </c>
      <c r="F203">
        <v>218.4</v>
      </c>
    </row>
    <row r="204" spans="1:6" x14ac:dyDescent="0.25">
      <c r="A204" t="s">
        <v>24</v>
      </c>
      <c r="B204" t="s">
        <v>96</v>
      </c>
      <c r="C204" t="s">
        <v>97</v>
      </c>
      <c r="D204" t="s">
        <v>10</v>
      </c>
      <c r="E204" t="s">
        <v>30</v>
      </c>
      <c r="F204">
        <v>2555.35</v>
      </c>
    </row>
    <row r="205" spans="1:6" x14ac:dyDescent="0.25">
      <c r="A205" t="s">
        <v>24</v>
      </c>
      <c r="B205" t="s">
        <v>82</v>
      </c>
      <c r="C205" t="s">
        <v>10</v>
      </c>
      <c r="D205" t="s">
        <v>8</v>
      </c>
      <c r="E205" t="s">
        <v>31</v>
      </c>
      <c r="F205">
        <v>260.52999999999997</v>
      </c>
    </row>
    <row r="206" spans="1:6" x14ac:dyDescent="0.25">
      <c r="A206" t="s">
        <v>25</v>
      </c>
      <c r="B206" t="s">
        <v>65</v>
      </c>
      <c r="C206" t="s">
        <v>8</v>
      </c>
      <c r="D206" t="s">
        <v>10</v>
      </c>
      <c r="E206" t="s">
        <v>30</v>
      </c>
      <c r="F206">
        <v>224671.62</v>
      </c>
    </row>
    <row r="207" spans="1:6" x14ac:dyDescent="0.25">
      <c r="A207" t="s">
        <v>25</v>
      </c>
      <c r="B207" t="s">
        <v>62</v>
      </c>
      <c r="C207" t="s">
        <v>63</v>
      </c>
      <c r="D207" t="s">
        <v>10</v>
      </c>
      <c r="E207" t="s">
        <v>30</v>
      </c>
      <c r="F207">
        <v>18446.800000000003</v>
      </c>
    </row>
    <row r="208" spans="1:6" x14ac:dyDescent="0.25">
      <c r="A208" t="s">
        <v>25</v>
      </c>
      <c r="B208" t="s">
        <v>6</v>
      </c>
      <c r="C208" t="s">
        <v>10</v>
      </c>
      <c r="D208" t="s">
        <v>7</v>
      </c>
      <c r="E208" t="s">
        <v>31</v>
      </c>
      <c r="F208">
        <v>24709.810000000009</v>
      </c>
    </row>
    <row r="209" spans="1:6" x14ac:dyDescent="0.25">
      <c r="A209" t="s">
        <v>25</v>
      </c>
      <c r="B209" t="s">
        <v>66</v>
      </c>
      <c r="C209" t="s">
        <v>10</v>
      </c>
      <c r="D209" t="s">
        <v>67</v>
      </c>
      <c r="E209" t="s">
        <v>31</v>
      </c>
      <c r="F209">
        <v>181787.22000000003</v>
      </c>
    </row>
    <row r="210" spans="1:6" x14ac:dyDescent="0.25">
      <c r="A210" t="s">
        <v>25</v>
      </c>
      <c r="B210" t="s">
        <v>85</v>
      </c>
      <c r="C210" t="s">
        <v>61</v>
      </c>
      <c r="D210" t="s">
        <v>9</v>
      </c>
      <c r="E210" t="s">
        <v>30</v>
      </c>
      <c r="F210">
        <v>20890.980000000003</v>
      </c>
    </row>
    <row r="211" spans="1:6" x14ac:dyDescent="0.25">
      <c r="A211" t="s">
        <v>25</v>
      </c>
      <c r="B211" t="s">
        <v>68</v>
      </c>
      <c r="C211" t="s">
        <v>10</v>
      </c>
      <c r="D211" t="s">
        <v>69</v>
      </c>
      <c r="E211" t="s">
        <v>31</v>
      </c>
      <c r="F211">
        <v>6509.62</v>
      </c>
    </row>
    <row r="212" spans="1:6" x14ac:dyDescent="0.25">
      <c r="A212" t="s">
        <v>25</v>
      </c>
      <c r="B212" t="s">
        <v>75</v>
      </c>
      <c r="C212" t="s">
        <v>10</v>
      </c>
      <c r="D212" t="s">
        <v>76</v>
      </c>
      <c r="E212" t="s">
        <v>31</v>
      </c>
      <c r="F212">
        <v>4135.7499999999991</v>
      </c>
    </row>
    <row r="213" spans="1:6" x14ac:dyDescent="0.25">
      <c r="A213" t="s">
        <v>25</v>
      </c>
      <c r="B213" t="s">
        <v>78</v>
      </c>
      <c r="C213" t="s">
        <v>10</v>
      </c>
      <c r="D213" t="s">
        <v>79</v>
      </c>
      <c r="E213" t="s">
        <v>31</v>
      </c>
      <c r="F213">
        <v>834.65999999999974</v>
      </c>
    </row>
    <row r="214" spans="1:6" x14ac:dyDescent="0.25">
      <c r="A214" t="s">
        <v>25</v>
      </c>
      <c r="B214" t="s">
        <v>73</v>
      </c>
      <c r="C214" t="s">
        <v>10</v>
      </c>
      <c r="D214" t="s">
        <v>74</v>
      </c>
      <c r="E214" t="s">
        <v>31</v>
      </c>
      <c r="F214">
        <v>18563.23</v>
      </c>
    </row>
    <row r="215" spans="1:6" x14ac:dyDescent="0.25">
      <c r="A215" t="s">
        <v>25</v>
      </c>
      <c r="B215" t="s">
        <v>4</v>
      </c>
      <c r="C215" t="s">
        <v>10</v>
      </c>
      <c r="D215" t="s">
        <v>5</v>
      </c>
      <c r="E215" t="s">
        <v>31</v>
      </c>
      <c r="F215">
        <v>8008.6299999999992</v>
      </c>
    </row>
    <row r="216" spans="1:6" x14ac:dyDescent="0.25">
      <c r="A216" t="s">
        <v>25</v>
      </c>
      <c r="B216" t="s">
        <v>77</v>
      </c>
      <c r="C216" t="s">
        <v>10</v>
      </c>
      <c r="D216" t="s">
        <v>8</v>
      </c>
      <c r="E216" t="s">
        <v>31</v>
      </c>
      <c r="F216">
        <v>111.5</v>
      </c>
    </row>
    <row r="217" spans="1:6" x14ac:dyDescent="0.25">
      <c r="A217" t="s">
        <v>25</v>
      </c>
      <c r="B217" t="s">
        <v>70</v>
      </c>
      <c r="C217" t="s">
        <v>71</v>
      </c>
      <c r="D217" t="s">
        <v>10</v>
      </c>
      <c r="E217" t="s">
        <v>30</v>
      </c>
      <c r="F217">
        <v>25178.27</v>
      </c>
    </row>
    <row r="218" spans="1:6" x14ac:dyDescent="0.25">
      <c r="A218" t="s">
        <v>25</v>
      </c>
      <c r="B218" t="s">
        <v>14</v>
      </c>
      <c r="C218" t="s">
        <v>10</v>
      </c>
      <c r="D218" t="s">
        <v>15</v>
      </c>
      <c r="E218" t="s">
        <v>31</v>
      </c>
      <c r="F218">
        <v>729.45</v>
      </c>
    </row>
    <row r="219" spans="1:6" x14ac:dyDescent="0.25">
      <c r="A219" t="s">
        <v>25</v>
      </c>
      <c r="B219" t="s">
        <v>89</v>
      </c>
      <c r="C219" t="s">
        <v>10</v>
      </c>
      <c r="D219" t="s">
        <v>90</v>
      </c>
      <c r="E219" t="s">
        <v>31</v>
      </c>
      <c r="F219">
        <v>2976.5299999999997</v>
      </c>
    </row>
    <row r="220" spans="1:6" x14ac:dyDescent="0.25">
      <c r="A220" t="s">
        <v>25</v>
      </c>
      <c r="B220" t="s">
        <v>72</v>
      </c>
      <c r="C220" t="s">
        <v>10</v>
      </c>
      <c r="D220" t="s">
        <v>8</v>
      </c>
      <c r="E220" t="s">
        <v>31</v>
      </c>
      <c r="F220">
        <v>1759.44</v>
      </c>
    </row>
    <row r="221" spans="1:6" x14ac:dyDescent="0.25">
      <c r="A221" t="s">
        <v>25</v>
      </c>
      <c r="B221" t="s">
        <v>11</v>
      </c>
      <c r="C221" t="s">
        <v>32</v>
      </c>
      <c r="D221" t="s">
        <v>10</v>
      </c>
      <c r="E221" t="s">
        <v>30</v>
      </c>
      <c r="F221">
        <v>2808.62</v>
      </c>
    </row>
    <row r="222" spans="1:6" x14ac:dyDescent="0.25">
      <c r="A222" t="s">
        <v>25</v>
      </c>
      <c r="B222" t="s">
        <v>80</v>
      </c>
      <c r="C222" t="s">
        <v>10</v>
      </c>
      <c r="D222" t="s">
        <v>81</v>
      </c>
      <c r="E222" t="s">
        <v>31</v>
      </c>
      <c r="F222">
        <v>15665.42</v>
      </c>
    </row>
    <row r="223" spans="1:6" x14ac:dyDescent="0.25">
      <c r="A223" t="s">
        <v>25</v>
      </c>
      <c r="B223" t="s">
        <v>102</v>
      </c>
      <c r="C223" t="s">
        <v>103</v>
      </c>
      <c r="D223" t="s">
        <v>10</v>
      </c>
      <c r="E223" t="s">
        <v>30</v>
      </c>
      <c r="F223">
        <v>231.43</v>
      </c>
    </row>
    <row r="224" spans="1:6" x14ac:dyDescent="0.25">
      <c r="A224" t="s">
        <v>25</v>
      </c>
      <c r="B224" t="s">
        <v>64</v>
      </c>
      <c r="C224" t="s">
        <v>33</v>
      </c>
      <c r="D224" t="s">
        <v>10</v>
      </c>
      <c r="E224" t="s">
        <v>30</v>
      </c>
      <c r="F224">
        <v>1769.19</v>
      </c>
    </row>
    <row r="225" spans="1:6" x14ac:dyDescent="0.25">
      <c r="A225" t="s">
        <v>25</v>
      </c>
      <c r="B225" t="s">
        <v>96</v>
      </c>
      <c r="C225" t="s">
        <v>97</v>
      </c>
      <c r="D225" t="s">
        <v>10</v>
      </c>
      <c r="E225" t="s">
        <v>30</v>
      </c>
      <c r="F225">
        <v>1388.59</v>
      </c>
    </row>
    <row r="226" spans="1:6" x14ac:dyDescent="0.25">
      <c r="A226" t="s">
        <v>25</v>
      </c>
      <c r="B226" t="s">
        <v>83</v>
      </c>
      <c r="C226" t="s">
        <v>10</v>
      </c>
      <c r="D226" t="s">
        <v>84</v>
      </c>
      <c r="E226" t="s">
        <v>31</v>
      </c>
      <c r="F226">
        <v>8703.26</v>
      </c>
    </row>
    <row r="227" spans="1:6" x14ac:dyDescent="0.25">
      <c r="A227" t="s">
        <v>26</v>
      </c>
      <c r="B227" t="s">
        <v>65</v>
      </c>
      <c r="C227" t="s">
        <v>8</v>
      </c>
      <c r="D227" t="s">
        <v>10</v>
      </c>
      <c r="E227" t="s">
        <v>30</v>
      </c>
      <c r="F227">
        <v>142860.41999999998</v>
      </c>
    </row>
    <row r="228" spans="1:6" x14ac:dyDescent="0.25">
      <c r="A228" t="s">
        <v>26</v>
      </c>
      <c r="B228" t="s">
        <v>62</v>
      </c>
      <c r="C228" t="s">
        <v>63</v>
      </c>
      <c r="D228" t="s">
        <v>10</v>
      </c>
      <c r="E228" t="s">
        <v>30</v>
      </c>
      <c r="F228">
        <v>16737.009999999998</v>
      </c>
    </row>
    <row r="229" spans="1:6" x14ac:dyDescent="0.25">
      <c r="A229" t="s">
        <v>26</v>
      </c>
      <c r="B229" t="s">
        <v>6</v>
      </c>
      <c r="C229" t="s">
        <v>10</v>
      </c>
      <c r="D229" t="s">
        <v>7</v>
      </c>
      <c r="E229" t="s">
        <v>31</v>
      </c>
      <c r="F229">
        <v>12304.080000000004</v>
      </c>
    </row>
    <row r="230" spans="1:6" x14ac:dyDescent="0.25">
      <c r="A230" t="s">
        <v>26</v>
      </c>
      <c r="B230" t="s">
        <v>73</v>
      </c>
      <c r="C230" t="s">
        <v>10</v>
      </c>
      <c r="D230" t="s">
        <v>74</v>
      </c>
      <c r="E230" t="s">
        <v>31</v>
      </c>
      <c r="F230">
        <v>12400.860000000002</v>
      </c>
    </row>
    <row r="231" spans="1:6" x14ac:dyDescent="0.25">
      <c r="A231" t="s">
        <v>26</v>
      </c>
      <c r="B231" t="s">
        <v>66</v>
      </c>
      <c r="C231" t="s">
        <v>10</v>
      </c>
      <c r="D231" t="s">
        <v>67</v>
      </c>
      <c r="E231" t="s">
        <v>31</v>
      </c>
      <c r="F231">
        <v>100239.4</v>
      </c>
    </row>
    <row r="232" spans="1:6" x14ac:dyDescent="0.25">
      <c r="A232" t="s">
        <v>26</v>
      </c>
      <c r="B232" t="s">
        <v>85</v>
      </c>
      <c r="C232" t="s">
        <v>61</v>
      </c>
      <c r="D232" t="s">
        <v>9</v>
      </c>
      <c r="E232" t="s">
        <v>30</v>
      </c>
      <c r="F232">
        <v>11219.009999999997</v>
      </c>
    </row>
    <row r="233" spans="1:6" x14ac:dyDescent="0.25">
      <c r="A233" t="s">
        <v>26</v>
      </c>
      <c r="B233" t="s">
        <v>78</v>
      </c>
      <c r="C233" t="s">
        <v>10</v>
      </c>
      <c r="D233" t="s">
        <v>79</v>
      </c>
      <c r="E233" t="s">
        <v>31</v>
      </c>
      <c r="F233">
        <v>803.01999999999975</v>
      </c>
    </row>
    <row r="234" spans="1:6" x14ac:dyDescent="0.25">
      <c r="A234" t="s">
        <v>26</v>
      </c>
      <c r="B234" t="s">
        <v>68</v>
      </c>
      <c r="C234" t="s">
        <v>10</v>
      </c>
      <c r="D234" t="s">
        <v>69</v>
      </c>
      <c r="E234" t="s">
        <v>31</v>
      </c>
      <c r="F234">
        <v>9861.9800000000014</v>
      </c>
    </row>
    <row r="235" spans="1:6" x14ac:dyDescent="0.25">
      <c r="A235" t="s">
        <v>26</v>
      </c>
      <c r="B235" t="s">
        <v>72</v>
      </c>
      <c r="C235" t="s">
        <v>10</v>
      </c>
      <c r="D235" t="s">
        <v>8</v>
      </c>
      <c r="E235" t="s">
        <v>31</v>
      </c>
      <c r="F235">
        <v>14276.779999999997</v>
      </c>
    </row>
    <row r="236" spans="1:6" x14ac:dyDescent="0.25">
      <c r="A236" t="s">
        <v>26</v>
      </c>
      <c r="B236" t="s">
        <v>77</v>
      </c>
      <c r="C236" t="s">
        <v>10</v>
      </c>
      <c r="D236" t="s">
        <v>8</v>
      </c>
      <c r="E236" t="s">
        <v>31</v>
      </c>
      <c r="F236">
        <v>74.69</v>
      </c>
    </row>
    <row r="237" spans="1:6" x14ac:dyDescent="0.25">
      <c r="A237" t="s">
        <v>26</v>
      </c>
      <c r="B237" t="s">
        <v>70</v>
      </c>
      <c r="C237" t="s">
        <v>71</v>
      </c>
      <c r="D237" t="s">
        <v>10</v>
      </c>
      <c r="E237" t="s">
        <v>30</v>
      </c>
      <c r="F237">
        <v>15556.510000000002</v>
      </c>
    </row>
    <row r="238" spans="1:6" x14ac:dyDescent="0.25">
      <c r="A238" t="s">
        <v>26</v>
      </c>
      <c r="B238" t="s">
        <v>75</v>
      </c>
      <c r="C238" t="s">
        <v>10</v>
      </c>
      <c r="D238" t="s">
        <v>76</v>
      </c>
      <c r="E238" t="s">
        <v>31</v>
      </c>
      <c r="F238">
        <v>710.22</v>
      </c>
    </row>
    <row r="239" spans="1:6" x14ac:dyDescent="0.25">
      <c r="A239" t="s">
        <v>26</v>
      </c>
      <c r="B239" t="s">
        <v>17</v>
      </c>
      <c r="C239" t="s">
        <v>10</v>
      </c>
      <c r="D239" t="s">
        <v>8</v>
      </c>
      <c r="E239" t="s">
        <v>31</v>
      </c>
      <c r="F239">
        <v>5685.77</v>
      </c>
    </row>
    <row r="240" spans="1:6" x14ac:dyDescent="0.25">
      <c r="A240" t="s">
        <v>26</v>
      </c>
      <c r="B240" t="s">
        <v>11</v>
      </c>
      <c r="C240" t="s">
        <v>32</v>
      </c>
      <c r="D240" t="s">
        <v>10</v>
      </c>
      <c r="E240" t="s">
        <v>30</v>
      </c>
      <c r="F240">
        <v>2684.73</v>
      </c>
    </row>
    <row r="241" spans="1:6" x14ac:dyDescent="0.25">
      <c r="A241" t="s">
        <v>26</v>
      </c>
      <c r="B241" t="s">
        <v>80</v>
      </c>
      <c r="C241" t="s">
        <v>10</v>
      </c>
      <c r="D241" t="s">
        <v>81</v>
      </c>
      <c r="E241" t="s">
        <v>31</v>
      </c>
      <c r="F241">
        <v>6182.63</v>
      </c>
    </row>
    <row r="242" spans="1:6" x14ac:dyDescent="0.25">
      <c r="A242" t="s">
        <v>26</v>
      </c>
      <c r="B242" t="s">
        <v>64</v>
      </c>
      <c r="C242" t="s">
        <v>33</v>
      </c>
      <c r="D242" t="s">
        <v>10</v>
      </c>
      <c r="E242" t="s">
        <v>30</v>
      </c>
      <c r="F242">
        <v>5531.7000000000007</v>
      </c>
    </row>
    <row r="243" spans="1:6" x14ac:dyDescent="0.25">
      <c r="A243" t="s">
        <v>26</v>
      </c>
      <c r="B243" t="s">
        <v>83</v>
      </c>
      <c r="C243" t="s">
        <v>10</v>
      </c>
      <c r="D243" t="s">
        <v>84</v>
      </c>
      <c r="E243" t="s">
        <v>31</v>
      </c>
      <c r="F243">
        <v>18380.97</v>
      </c>
    </row>
    <row r="244" spans="1:6" x14ac:dyDescent="0.25">
      <c r="A244" t="s">
        <v>26</v>
      </c>
      <c r="B244" t="s">
        <v>89</v>
      </c>
      <c r="C244" t="s">
        <v>10</v>
      </c>
      <c r="D244" t="s">
        <v>90</v>
      </c>
      <c r="E244" t="s">
        <v>31</v>
      </c>
      <c r="F244">
        <v>900.23</v>
      </c>
    </row>
    <row r="245" spans="1:6" x14ac:dyDescent="0.25">
      <c r="A245" t="s">
        <v>26</v>
      </c>
      <c r="B245" t="s">
        <v>102</v>
      </c>
      <c r="C245" t="s">
        <v>103</v>
      </c>
      <c r="D245" t="s">
        <v>10</v>
      </c>
      <c r="E245" t="s">
        <v>30</v>
      </c>
      <c r="F245">
        <v>179.66</v>
      </c>
    </row>
    <row r="246" spans="1:6" x14ac:dyDescent="0.25">
      <c r="A246" t="s">
        <v>26</v>
      </c>
      <c r="B246" t="s">
        <v>96</v>
      </c>
      <c r="C246" t="s">
        <v>97</v>
      </c>
      <c r="D246" t="s">
        <v>10</v>
      </c>
      <c r="E246" t="s">
        <v>30</v>
      </c>
      <c r="F246">
        <v>215.6</v>
      </c>
    </row>
    <row r="247" spans="1:6" x14ac:dyDescent="0.25">
      <c r="A247" t="s">
        <v>26</v>
      </c>
      <c r="B247" t="s">
        <v>82</v>
      </c>
      <c r="C247" t="s">
        <v>10</v>
      </c>
      <c r="D247" t="s">
        <v>8</v>
      </c>
      <c r="E247" t="s">
        <v>31</v>
      </c>
      <c r="F247">
        <v>1945</v>
      </c>
    </row>
    <row r="248" spans="1:6" x14ac:dyDescent="0.25">
      <c r="A248" t="s">
        <v>27</v>
      </c>
      <c r="B248" t="s">
        <v>65</v>
      </c>
      <c r="C248" t="s">
        <v>8</v>
      </c>
      <c r="D248" t="s">
        <v>10</v>
      </c>
      <c r="E248" t="s">
        <v>30</v>
      </c>
      <c r="F248">
        <v>129214.77999999998</v>
      </c>
    </row>
    <row r="249" spans="1:6" x14ac:dyDescent="0.25">
      <c r="A249" t="s">
        <v>27</v>
      </c>
      <c r="B249" t="s">
        <v>62</v>
      </c>
      <c r="C249" t="s">
        <v>63</v>
      </c>
      <c r="D249" t="s">
        <v>10</v>
      </c>
      <c r="E249" t="s">
        <v>30</v>
      </c>
      <c r="F249">
        <v>14737.960000000001</v>
      </c>
    </row>
    <row r="250" spans="1:6" x14ac:dyDescent="0.25">
      <c r="A250" t="s">
        <v>27</v>
      </c>
      <c r="B250" t="s">
        <v>6</v>
      </c>
      <c r="C250" t="s">
        <v>10</v>
      </c>
      <c r="D250" t="s">
        <v>7</v>
      </c>
      <c r="E250" t="s">
        <v>31</v>
      </c>
      <c r="F250">
        <v>11869.080000000005</v>
      </c>
    </row>
    <row r="251" spans="1:6" x14ac:dyDescent="0.25">
      <c r="A251" t="s">
        <v>27</v>
      </c>
      <c r="B251" t="s">
        <v>68</v>
      </c>
      <c r="C251" t="s">
        <v>10</v>
      </c>
      <c r="D251" t="s">
        <v>69</v>
      </c>
      <c r="E251" t="s">
        <v>31</v>
      </c>
      <c r="F251">
        <v>9492.68</v>
      </c>
    </row>
    <row r="252" spans="1:6" x14ac:dyDescent="0.25">
      <c r="A252" t="s">
        <v>27</v>
      </c>
      <c r="B252" t="s">
        <v>73</v>
      </c>
      <c r="C252" t="s">
        <v>10</v>
      </c>
      <c r="D252" t="s">
        <v>74</v>
      </c>
      <c r="E252" t="s">
        <v>31</v>
      </c>
      <c r="F252">
        <v>12325.170000000002</v>
      </c>
    </row>
    <row r="253" spans="1:6" x14ac:dyDescent="0.25">
      <c r="A253" t="s">
        <v>27</v>
      </c>
      <c r="B253" t="s">
        <v>66</v>
      </c>
      <c r="C253" t="s">
        <v>10</v>
      </c>
      <c r="D253" t="s">
        <v>67</v>
      </c>
      <c r="E253" t="s">
        <v>31</v>
      </c>
      <c r="F253">
        <v>106056.67</v>
      </c>
    </row>
    <row r="254" spans="1:6" x14ac:dyDescent="0.25">
      <c r="A254" t="s">
        <v>27</v>
      </c>
      <c r="B254" t="s">
        <v>85</v>
      </c>
      <c r="C254" t="s">
        <v>61</v>
      </c>
      <c r="D254" t="s">
        <v>9</v>
      </c>
      <c r="E254" t="s">
        <v>30</v>
      </c>
      <c r="F254">
        <v>11776.779999999995</v>
      </c>
    </row>
    <row r="255" spans="1:6" x14ac:dyDescent="0.25">
      <c r="A255" t="s">
        <v>27</v>
      </c>
      <c r="B255" t="s">
        <v>86</v>
      </c>
      <c r="C255" t="s">
        <v>10</v>
      </c>
      <c r="D255" t="s">
        <v>59</v>
      </c>
      <c r="E255" t="s">
        <v>31</v>
      </c>
      <c r="F255">
        <v>40</v>
      </c>
    </row>
    <row r="256" spans="1:6" x14ac:dyDescent="0.25">
      <c r="A256" t="s">
        <v>27</v>
      </c>
      <c r="B256" t="s">
        <v>4</v>
      </c>
      <c r="C256" t="s">
        <v>10</v>
      </c>
      <c r="D256" t="s">
        <v>5</v>
      </c>
      <c r="E256" t="s">
        <v>31</v>
      </c>
      <c r="F256">
        <v>126.56</v>
      </c>
    </row>
    <row r="257" spans="1:6" x14ac:dyDescent="0.25">
      <c r="A257" t="s">
        <v>27</v>
      </c>
      <c r="B257" t="s">
        <v>11</v>
      </c>
      <c r="C257" t="s">
        <v>32</v>
      </c>
      <c r="D257" t="s">
        <v>10</v>
      </c>
      <c r="E257" t="s">
        <v>30</v>
      </c>
      <c r="F257">
        <v>1283.26</v>
      </c>
    </row>
    <row r="258" spans="1:6" x14ac:dyDescent="0.25">
      <c r="A258" t="s">
        <v>27</v>
      </c>
      <c r="B258" t="s">
        <v>72</v>
      </c>
      <c r="C258" t="s">
        <v>10</v>
      </c>
      <c r="D258" t="s">
        <v>8</v>
      </c>
      <c r="E258" t="s">
        <v>31</v>
      </c>
      <c r="F258">
        <v>4954.2099999999991</v>
      </c>
    </row>
    <row r="259" spans="1:6" x14ac:dyDescent="0.25">
      <c r="A259" t="s">
        <v>27</v>
      </c>
      <c r="B259" t="s">
        <v>70</v>
      </c>
      <c r="C259" t="s">
        <v>71</v>
      </c>
      <c r="D259" t="s">
        <v>10</v>
      </c>
      <c r="E259" t="s">
        <v>30</v>
      </c>
      <c r="F259">
        <v>12417.210000000001</v>
      </c>
    </row>
    <row r="260" spans="1:6" x14ac:dyDescent="0.25">
      <c r="A260" t="s">
        <v>27</v>
      </c>
      <c r="B260" t="s">
        <v>75</v>
      </c>
      <c r="C260" t="s">
        <v>10</v>
      </c>
      <c r="D260" t="s">
        <v>76</v>
      </c>
      <c r="E260" t="s">
        <v>31</v>
      </c>
      <c r="F260">
        <v>294</v>
      </c>
    </row>
    <row r="261" spans="1:6" x14ac:dyDescent="0.25">
      <c r="A261" t="s">
        <v>27</v>
      </c>
      <c r="B261" t="s">
        <v>17</v>
      </c>
      <c r="C261" t="s">
        <v>10</v>
      </c>
      <c r="D261" t="s">
        <v>8</v>
      </c>
      <c r="E261" t="s">
        <v>31</v>
      </c>
      <c r="F261">
        <v>1819</v>
      </c>
    </row>
    <row r="262" spans="1:6" x14ac:dyDescent="0.25">
      <c r="A262" t="s">
        <v>27</v>
      </c>
      <c r="B262" t="s">
        <v>78</v>
      </c>
      <c r="C262" t="s">
        <v>10</v>
      </c>
      <c r="D262" t="s">
        <v>79</v>
      </c>
      <c r="E262" t="s">
        <v>31</v>
      </c>
      <c r="F262">
        <v>768.38999999999987</v>
      </c>
    </row>
    <row r="263" spans="1:6" x14ac:dyDescent="0.25">
      <c r="A263" t="s">
        <v>27</v>
      </c>
      <c r="B263" t="s">
        <v>80</v>
      </c>
      <c r="C263" t="s">
        <v>10</v>
      </c>
      <c r="D263" t="s">
        <v>81</v>
      </c>
      <c r="E263" t="s">
        <v>31</v>
      </c>
      <c r="F263">
        <v>9907.4500000000007</v>
      </c>
    </row>
    <row r="264" spans="1:6" x14ac:dyDescent="0.25">
      <c r="A264" t="s">
        <v>95</v>
      </c>
      <c r="B264" t="s">
        <v>65</v>
      </c>
      <c r="C264" t="s">
        <v>8</v>
      </c>
      <c r="D264" t="s">
        <v>10</v>
      </c>
      <c r="E264" t="s">
        <v>30</v>
      </c>
      <c r="F264">
        <v>107393.72000000002</v>
      </c>
    </row>
    <row r="265" spans="1:6" x14ac:dyDescent="0.25">
      <c r="A265" t="s">
        <v>95</v>
      </c>
      <c r="B265" t="s">
        <v>62</v>
      </c>
      <c r="C265" t="s">
        <v>63</v>
      </c>
      <c r="D265" t="s">
        <v>10</v>
      </c>
      <c r="E265" t="s">
        <v>30</v>
      </c>
      <c r="F265">
        <v>9976.3699999999972</v>
      </c>
    </row>
    <row r="266" spans="1:6" x14ac:dyDescent="0.25">
      <c r="A266" t="s">
        <v>95</v>
      </c>
      <c r="B266" t="s">
        <v>4</v>
      </c>
      <c r="C266" t="s">
        <v>10</v>
      </c>
      <c r="D266" t="s">
        <v>5</v>
      </c>
      <c r="E266" t="s">
        <v>31</v>
      </c>
      <c r="F266">
        <v>569.45000000000005</v>
      </c>
    </row>
    <row r="267" spans="1:6" x14ac:dyDescent="0.25">
      <c r="A267" t="s">
        <v>95</v>
      </c>
      <c r="B267" t="s">
        <v>6</v>
      </c>
      <c r="C267" t="s">
        <v>10</v>
      </c>
      <c r="D267" t="s">
        <v>7</v>
      </c>
      <c r="E267" t="s">
        <v>31</v>
      </c>
      <c r="F267">
        <v>9680.5800000000036</v>
      </c>
    </row>
    <row r="268" spans="1:6" x14ac:dyDescent="0.25">
      <c r="A268" t="s">
        <v>95</v>
      </c>
      <c r="B268" t="s">
        <v>68</v>
      </c>
      <c r="C268" t="s">
        <v>10</v>
      </c>
      <c r="D268" t="s">
        <v>69</v>
      </c>
      <c r="E268" t="s">
        <v>31</v>
      </c>
      <c r="F268">
        <v>10305.739999999998</v>
      </c>
    </row>
    <row r="269" spans="1:6" x14ac:dyDescent="0.25">
      <c r="A269" t="s">
        <v>95</v>
      </c>
      <c r="B269" t="s">
        <v>75</v>
      </c>
      <c r="C269" t="s">
        <v>10</v>
      </c>
      <c r="D269" t="s">
        <v>76</v>
      </c>
      <c r="E269" t="s">
        <v>31</v>
      </c>
      <c r="F269">
        <v>546.83000000000004</v>
      </c>
    </row>
    <row r="270" spans="1:6" x14ac:dyDescent="0.25">
      <c r="A270" t="s">
        <v>95</v>
      </c>
      <c r="B270" t="s">
        <v>73</v>
      </c>
      <c r="C270" t="s">
        <v>10</v>
      </c>
      <c r="D270" t="s">
        <v>74</v>
      </c>
      <c r="E270" t="s">
        <v>31</v>
      </c>
      <c r="F270">
        <v>3922.87</v>
      </c>
    </row>
    <row r="271" spans="1:6" x14ac:dyDescent="0.25">
      <c r="A271" t="s">
        <v>95</v>
      </c>
      <c r="B271" t="s">
        <v>66</v>
      </c>
      <c r="C271" t="s">
        <v>10</v>
      </c>
      <c r="D271" t="s">
        <v>67</v>
      </c>
      <c r="E271" t="s">
        <v>31</v>
      </c>
      <c r="F271">
        <v>85812.500000000015</v>
      </c>
    </row>
    <row r="272" spans="1:6" x14ac:dyDescent="0.25">
      <c r="A272" t="s">
        <v>95</v>
      </c>
      <c r="B272" t="s">
        <v>85</v>
      </c>
      <c r="C272" t="s">
        <v>61</v>
      </c>
      <c r="D272" t="s">
        <v>9</v>
      </c>
      <c r="E272" t="s">
        <v>30</v>
      </c>
      <c r="F272">
        <v>8932.7099999999973</v>
      </c>
    </row>
    <row r="273" spans="1:6" x14ac:dyDescent="0.25">
      <c r="A273" t="s">
        <v>95</v>
      </c>
      <c r="B273" t="s">
        <v>72</v>
      </c>
      <c r="C273" t="s">
        <v>10</v>
      </c>
      <c r="D273" t="s">
        <v>8</v>
      </c>
      <c r="E273" t="s">
        <v>31</v>
      </c>
      <c r="F273">
        <v>4488.6899999999996</v>
      </c>
    </row>
    <row r="274" spans="1:6" x14ac:dyDescent="0.25">
      <c r="A274" t="s">
        <v>95</v>
      </c>
      <c r="B274" t="s">
        <v>70</v>
      </c>
      <c r="C274" t="s">
        <v>71</v>
      </c>
      <c r="D274" t="s">
        <v>10</v>
      </c>
      <c r="E274" t="s">
        <v>30</v>
      </c>
      <c r="F274">
        <v>5810.32</v>
      </c>
    </row>
    <row r="275" spans="1:6" x14ac:dyDescent="0.25">
      <c r="A275" t="s">
        <v>95</v>
      </c>
      <c r="B275" t="s">
        <v>77</v>
      </c>
      <c r="C275" t="s">
        <v>10</v>
      </c>
      <c r="D275" t="s">
        <v>8</v>
      </c>
      <c r="E275" t="s">
        <v>31</v>
      </c>
      <c r="F275">
        <v>29.08</v>
      </c>
    </row>
    <row r="276" spans="1:6" x14ac:dyDescent="0.25">
      <c r="A276" t="s">
        <v>95</v>
      </c>
      <c r="B276" t="s">
        <v>78</v>
      </c>
      <c r="C276" t="s">
        <v>10</v>
      </c>
      <c r="D276" t="s">
        <v>79</v>
      </c>
      <c r="E276" t="s">
        <v>31</v>
      </c>
      <c r="F276">
        <v>2343.83</v>
      </c>
    </row>
    <row r="277" spans="1:6" x14ac:dyDescent="0.25">
      <c r="A277" t="s">
        <v>95</v>
      </c>
      <c r="B277" t="s">
        <v>11</v>
      </c>
      <c r="C277" t="s">
        <v>32</v>
      </c>
      <c r="D277" t="s">
        <v>10</v>
      </c>
      <c r="E277" t="s">
        <v>30</v>
      </c>
      <c r="F277">
        <v>806.12</v>
      </c>
    </row>
    <row r="278" spans="1:6" x14ac:dyDescent="0.25">
      <c r="A278" t="s">
        <v>95</v>
      </c>
      <c r="B278" t="s">
        <v>80</v>
      </c>
      <c r="C278" t="s">
        <v>10</v>
      </c>
      <c r="D278" t="s">
        <v>81</v>
      </c>
      <c r="E278" t="s">
        <v>31</v>
      </c>
      <c r="F278">
        <v>3413.11</v>
      </c>
    </row>
    <row r="279" spans="1:6" x14ac:dyDescent="0.25">
      <c r="A279" t="s">
        <v>95</v>
      </c>
      <c r="B279" t="s">
        <v>64</v>
      </c>
      <c r="C279" t="s">
        <v>33</v>
      </c>
      <c r="D279" t="s">
        <v>10</v>
      </c>
      <c r="E279" t="s">
        <v>30</v>
      </c>
      <c r="F279">
        <v>1635.76</v>
      </c>
    </row>
    <row r="280" spans="1:6" x14ac:dyDescent="0.25">
      <c r="A280" t="s">
        <v>95</v>
      </c>
      <c r="B280" t="s">
        <v>83</v>
      </c>
      <c r="C280" t="s">
        <v>10</v>
      </c>
      <c r="D280" t="s">
        <v>84</v>
      </c>
      <c r="E280" t="s">
        <v>31</v>
      </c>
      <c r="F280">
        <v>2261.9899999999998</v>
      </c>
    </row>
    <row r="281" spans="1:6" x14ac:dyDescent="0.25">
      <c r="A281" t="s">
        <v>95</v>
      </c>
      <c r="B281" t="s">
        <v>89</v>
      </c>
      <c r="C281" t="s">
        <v>10</v>
      </c>
      <c r="D281" t="s">
        <v>90</v>
      </c>
      <c r="E281" t="s">
        <v>31</v>
      </c>
      <c r="F281">
        <v>457.62</v>
      </c>
    </row>
    <row r="282" spans="1:6" x14ac:dyDescent="0.25">
      <c r="A282" t="s">
        <v>95</v>
      </c>
      <c r="B282" t="s">
        <v>82</v>
      </c>
      <c r="C282" t="s">
        <v>10</v>
      </c>
      <c r="D282" t="s">
        <v>8</v>
      </c>
      <c r="E282" t="s">
        <v>31</v>
      </c>
      <c r="F282">
        <v>1790</v>
      </c>
    </row>
    <row r="283" spans="1:6" x14ac:dyDescent="0.25">
      <c r="A283" t="s">
        <v>104</v>
      </c>
      <c r="B283" t="s">
        <v>65</v>
      </c>
      <c r="C283" t="s">
        <v>8</v>
      </c>
      <c r="D283" t="s">
        <v>10</v>
      </c>
      <c r="E283" t="s">
        <v>30</v>
      </c>
      <c r="F283">
        <v>116551.54999999997</v>
      </c>
    </row>
    <row r="284" spans="1:6" x14ac:dyDescent="0.25">
      <c r="A284" t="s">
        <v>104</v>
      </c>
      <c r="B284" t="s">
        <v>62</v>
      </c>
      <c r="C284" t="s">
        <v>63</v>
      </c>
      <c r="D284" t="s">
        <v>10</v>
      </c>
      <c r="E284" t="s">
        <v>30</v>
      </c>
      <c r="F284">
        <v>9680.7999999999993</v>
      </c>
    </row>
    <row r="285" spans="1:6" x14ac:dyDescent="0.25">
      <c r="A285" t="s">
        <v>104</v>
      </c>
      <c r="B285" t="s">
        <v>6</v>
      </c>
      <c r="C285" t="s">
        <v>10</v>
      </c>
      <c r="D285" t="s">
        <v>7</v>
      </c>
      <c r="E285" t="s">
        <v>31</v>
      </c>
      <c r="F285">
        <v>9789.34</v>
      </c>
    </row>
    <row r="286" spans="1:6" x14ac:dyDescent="0.25">
      <c r="A286" t="s">
        <v>104</v>
      </c>
      <c r="B286" t="s">
        <v>78</v>
      </c>
      <c r="C286" t="s">
        <v>10</v>
      </c>
      <c r="D286" t="s">
        <v>79</v>
      </c>
      <c r="E286" t="s">
        <v>31</v>
      </c>
      <c r="F286">
        <v>1721.0600000000002</v>
      </c>
    </row>
    <row r="287" spans="1:6" x14ac:dyDescent="0.25">
      <c r="A287" t="s">
        <v>104</v>
      </c>
      <c r="B287" t="s">
        <v>68</v>
      </c>
      <c r="C287" t="s">
        <v>10</v>
      </c>
      <c r="D287" t="s">
        <v>69</v>
      </c>
      <c r="E287" t="s">
        <v>31</v>
      </c>
      <c r="F287">
        <v>10117.939999999999</v>
      </c>
    </row>
    <row r="288" spans="1:6" x14ac:dyDescent="0.25">
      <c r="A288" t="s">
        <v>104</v>
      </c>
      <c r="B288" t="s">
        <v>75</v>
      </c>
      <c r="C288" t="s">
        <v>10</v>
      </c>
      <c r="D288" t="s">
        <v>76</v>
      </c>
      <c r="E288" t="s">
        <v>31</v>
      </c>
      <c r="F288">
        <v>2724.01</v>
      </c>
    </row>
    <row r="289" spans="1:6" x14ac:dyDescent="0.25">
      <c r="A289" t="s">
        <v>104</v>
      </c>
      <c r="B289" t="s">
        <v>66</v>
      </c>
      <c r="C289" t="s">
        <v>10</v>
      </c>
      <c r="D289" t="s">
        <v>67</v>
      </c>
      <c r="E289" t="s">
        <v>31</v>
      </c>
      <c r="F289">
        <v>87349.88</v>
      </c>
    </row>
    <row r="290" spans="1:6" x14ac:dyDescent="0.25">
      <c r="A290" t="s">
        <v>104</v>
      </c>
      <c r="B290" t="s">
        <v>85</v>
      </c>
      <c r="C290" t="s">
        <v>61</v>
      </c>
      <c r="D290" t="s">
        <v>9</v>
      </c>
      <c r="E290" t="s">
        <v>30</v>
      </c>
      <c r="F290">
        <v>9091.6399999999958</v>
      </c>
    </row>
    <row r="291" spans="1:6" x14ac:dyDescent="0.25">
      <c r="A291" t="s">
        <v>104</v>
      </c>
      <c r="B291" t="s">
        <v>72</v>
      </c>
      <c r="C291" t="s">
        <v>10</v>
      </c>
      <c r="D291" t="s">
        <v>8</v>
      </c>
      <c r="E291" t="s">
        <v>31</v>
      </c>
      <c r="F291">
        <v>5735.119999999999</v>
      </c>
    </row>
    <row r="292" spans="1:6" x14ac:dyDescent="0.25">
      <c r="A292" t="s">
        <v>104</v>
      </c>
      <c r="B292" t="s">
        <v>73</v>
      </c>
      <c r="C292" t="s">
        <v>10</v>
      </c>
      <c r="D292" t="s">
        <v>74</v>
      </c>
      <c r="E292" t="s">
        <v>31</v>
      </c>
      <c r="F292">
        <v>6050.9900000000016</v>
      </c>
    </row>
    <row r="293" spans="1:6" x14ac:dyDescent="0.25">
      <c r="A293" t="s">
        <v>104</v>
      </c>
      <c r="B293" t="s">
        <v>11</v>
      </c>
      <c r="C293" t="s">
        <v>32</v>
      </c>
      <c r="D293" t="s">
        <v>10</v>
      </c>
      <c r="E293" t="s">
        <v>30</v>
      </c>
      <c r="F293">
        <v>322.45000000000005</v>
      </c>
    </row>
    <row r="294" spans="1:6" x14ac:dyDescent="0.25">
      <c r="A294" t="s">
        <v>104</v>
      </c>
      <c r="B294" t="s">
        <v>4</v>
      </c>
      <c r="C294" t="s">
        <v>10</v>
      </c>
      <c r="D294" t="s">
        <v>5</v>
      </c>
      <c r="E294" t="s">
        <v>31</v>
      </c>
      <c r="F294">
        <v>909.06</v>
      </c>
    </row>
    <row r="295" spans="1:6" x14ac:dyDescent="0.25">
      <c r="A295" t="s">
        <v>104</v>
      </c>
      <c r="B295" t="s">
        <v>86</v>
      </c>
      <c r="C295" t="s">
        <v>10</v>
      </c>
      <c r="D295" t="s">
        <v>59</v>
      </c>
      <c r="E295" t="s">
        <v>31</v>
      </c>
      <c r="F295">
        <v>40</v>
      </c>
    </row>
    <row r="296" spans="1:6" x14ac:dyDescent="0.25">
      <c r="A296" t="s">
        <v>104</v>
      </c>
      <c r="B296" t="s">
        <v>70</v>
      </c>
      <c r="C296" t="s">
        <v>71</v>
      </c>
      <c r="D296" t="s">
        <v>10</v>
      </c>
      <c r="E296" t="s">
        <v>30</v>
      </c>
      <c r="F296">
        <v>1016.75</v>
      </c>
    </row>
    <row r="297" spans="1:6" x14ac:dyDescent="0.25">
      <c r="A297" t="s">
        <v>104</v>
      </c>
      <c r="B297" t="s">
        <v>64</v>
      </c>
      <c r="C297" t="s">
        <v>33</v>
      </c>
      <c r="D297" t="s">
        <v>10</v>
      </c>
      <c r="E297" t="s">
        <v>30</v>
      </c>
      <c r="F297">
        <v>681.9</v>
      </c>
    </row>
    <row r="298" spans="1:6" x14ac:dyDescent="0.25">
      <c r="A298" t="s">
        <v>104</v>
      </c>
      <c r="B298" t="s">
        <v>83</v>
      </c>
      <c r="C298" t="s">
        <v>10</v>
      </c>
      <c r="D298" t="s">
        <v>84</v>
      </c>
      <c r="E298" t="s">
        <v>31</v>
      </c>
      <c r="F298">
        <v>657.44</v>
      </c>
    </row>
    <row r="299" spans="1:6" x14ac:dyDescent="0.25">
      <c r="A299" t="s">
        <v>104</v>
      </c>
      <c r="B299" t="s">
        <v>82</v>
      </c>
      <c r="C299" t="s">
        <v>10</v>
      </c>
      <c r="D299" t="s">
        <v>8</v>
      </c>
      <c r="E299" t="s">
        <v>31</v>
      </c>
      <c r="F299">
        <v>1803.7</v>
      </c>
    </row>
    <row r="300" spans="1:6" x14ac:dyDescent="0.25">
      <c r="A300" t="s">
        <v>104</v>
      </c>
      <c r="B300" t="s">
        <v>89</v>
      </c>
      <c r="C300" t="s">
        <v>10</v>
      </c>
      <c r="D300" t="s">
        <v>90</v>
      </c>
      <c r="E300" t="s">
        <v>31</v>
      </c>
      <c r="F300">
        <v>1354.91</v>
      </c>
    </row>
    <row r="301" spans="1:6" x14ac:dyDescent="0.25">
      <c r="A301" t="s">
        <v>105</v>
      </c>
      <c r="B301" t="s">
        <v>65</v>
      </c>
      <c r="C301" t="s">
        <v>8</v>
      </c>
      <c r="D301" t="s">
        <v>10</v>
      </c>
      <c r="E301" t="s">
        <v>30</v>
      </c>
      <c r="F301">
        <v>73992.099999999933</v>
      </c>
    </row>
    <row r="302" spans="1:6" x14ac:dyDescent="0.25">
      <c r="A302" t="s">
        <v>105</v>
      </c>
      <c r="B302" t="s">
        <v>6</v>
      </c>
      <c r="C302" t="s">
        <v>10</v>
      </c>
      <c r="D302" t="s">
        <v>7</v>
      </c>
      <c r="E302" t="s">
        <v>31</v>
      </c>
      <c r="F302">
        <v>5706.939999999996</v>
      </c>
    </row>
    <row r="303" spans="1:6" x14ac:dyDescent="0.25">
      <c r="A303" t="s">
        <v>105</v>
      </c>
      <c r="B303" t="s">
        <v>75</v>
      </c>
      <c r="C303" t="s">
        <v>10</v>
      </c>
      <c r="D303" t="s">
        <v>76</v>
      </c>
      <c r="E303" t="s">
        <v>31</v>
      </c>
      <c r="F303">
        <v>766.72</v>
      </c>
    </row>
    <row r="304" spans="1:6" x14ac:dyDescent="0.25">
      <c r="A304" t="s">
        <v>105</v>
      </c>
      <c r="B304" t="s">
        <v>66</v>
      </c>
      <c r="C304" t="s">
        <v>10</v>
      </c>
      <c r="D304" t="s">
        <v>67</v>
      </c>
      <c r="E304" t="s">
        <v>31</v>
      </c>
      <c r="F304">
        <v>64249.46</v>
      </c>
    </row>
    <row r="305" spans="1:6" x14ac:dyDescent="0.25">
      <c r="A305" t="s">
        <v>105</v>
      </c>
      <c r="B305" t="s">
        <v>85</v>
      </c>
      <c r="C305" t="s">
        <v>61</v>
      </c>
      <c r="D305" t="s">
        <v>9</v>
      </c>
      <c r="E305" t="s">
        <v>30</v>
      </c>
      <c r="F305">
        <v>5779.369999999999</v>
      </c>
    </row>
    <row r="306" spans="1:6" x14ac:dyDescent="0.25">
      <c r="A306" t="s">
        <v>105</v>
      </c>
      <c r="B306" t="s">
        <v>62</v>
      </c>
      <c r="C306" t="s">
        <v>63</v>
      </c>
      <c r="D306" t="s">
        <v>10</v>
      </c>
      <c r="E306" t="s">
        <v>30</v>
      </c>
      <c r="F306">
        <v>2158.6099999999997</v>
      </c>
    </row>
    <row r="307" spans="1:6" x14ac:dyDescent="0.25">
      <c r="A307" t="s">
        <v>105</v>
      </c>
      <c r="B307" t="s">
        <v>4</v>
      </c>
      <c r="C307" t="s">
        <v>10</v>
      </c>
      <c r="D307" t="s">
        <v>5</v>
      </c>
      <c r="E307" t="s">
        <v>31</v>
      </c>
      <c r="F307">
        <v>85.52</v>
      </c>
    </row>
    <row r="308" spans="1:6" x14ac:dyDescent="0.25">
      <c r="A308" t="s">
        <v>105</v>
      </c>
      <c r="B308" t="s">
        <v>68</v>
      </c>
      <c r="C308" t="s">
        <v>10</v>
      </c>
      <c r="D308" t="s">
        <v>69</v>
      </c>
      <c r="E308" t="s">
        <v>31</v>
      </c>
      <c r="F308">
        <v>1380</v>
      </c>
    </row>
    <row r="309" spans="1:6" x14ac:dyDescent="0.25">
      <c r="A309" t="s">
        <v>105</v>
      </c>
      <c r="B309" t="s">
        <v>73</v>
      </c>
      <c r="C309" t="s">
        <v>10</v>
      </c>
      <c r="D309" t="s">
        <v>74</v>
      </c>
      <c r="E309" t="s">
        <v>31</v>
      </c>
      <c r="F309">
        <v>639.22</v>
      </c>
    </row>
    <row r="310" spans="1:6" x14ac:dyDescent="0.25">
      <c r="A310" t="s">
        <v>105</v>
      </c>
      <c r="B310" t="s">
        <v>78</v>
      </c>
      <c r="C310" t="s">
        <v>10</v>
      </c>
      <c r="D310" t="s">
        <v>79</v>
      </c>
      <c r="E310" t="s">
        <v>31</v>
      </c>
      <c r="F310">
        <v>983.98000000000025</v>
      </c>
    </row>
    <row r="311" spans="1:6" x14ac:dyDescent="0.25">
      <c r="A311" t="s">
        <v>105</v>
      </c>
      <c r="B311" t="s">
        <v>11</v>
      </c>
      <c r="C311" t="s">
        <v>32</v>
      </c>
      <c r="D311" t="s">
        <v>10</v>
      </c>
      <c r="E311" t="s">
        <v>30</v>
      </c>
      <c r="F311">
        <v>433.57000000000005</v>
      </c>
    </row>
    <row r="312" spans="1:6" x14ac:dyDescent="0.25">
      <c r="A312" t="s">
        <v>105</v>
      </c>
      <c r="B312" t="s">
        <v>72</v>
      </c>
      <c r="C312" t="s">
        <v>10</v>
      </c>
      <c r="D312" t="s">
        <v>8</v>
      </c>
      <c r="E312" t="s">
        <v>31</v>
      </c>
      <c r="F312">
        <v>90.740000000000009</v>
      </c>
    </row>
    <row r="313" spans="1:6" x14ac:dyDescent="0.25">
      <c r="A313" t="s">
        <v>105</v>
      </c>
      <c r="B313" t="s">
        <v>89</v>
      </c>
      <c r="C313" t="s">
        <v>10</v>
      </c>
      <c r="D313" t="s">
        <v>90</v>
      </c>
      <c r="E313" t="s">
        <v>31</v>
      </c>
      <c r="F313">
        <v>2681.7</v>
      </c>
    </row>
    <row r="314" spans="1:6" x14ac:dyDescent="0.25">
      <c r="A314" t="s">
        <v>3</v>
      </c>
      <c r="B314" t="s">
        <v>60</v>
      </c>
      <c r="C314" t="s">
        <v>61</v>
      </c>
      <c r="D314" t="s">
        <v>10</v>
      </c>
      <c r="E314" t="s">
        <v>31</v>
      </c>
      <c r="F314">
        <v>14516.150000000009</v>
      </c>
    </row>
    <row r="315" spans="1:6" x14ac:dyDescent="0.25">
      <c r="A315" t="s">
        <v>12</v>
      </c>
      <c r="B315" t="s">
        <v>85</v>
      </c>
      <c r="C315" t="s">
        <v>61</v>
      </c>
      <c r="D315" t="s">
        <v>10</v>
      </c>
      <c r="E315" t="s">
        <v>31</v>
      </c>
      <c r="F315">
        <v>5501.6399999999994</v>
      </c>
    </row>
    <row r="316" spans="1:6" x14ac:dyDescent="0.25">
      <c r="A316" t="s">
        <v>13</v>
      </c>
      <c r="B316" t="s">
        <v>85</v>
      </c>
      <c r="C316" t="s">
        <v>61</v>
      </c>
      <c r="D316" t="s">
        <v>10</v>
      </c>
      <c r="E316" t="s">
        <v>31</v>
      </c>
      <c r="F316">
        <v>5985.9400000000014</v>
      </c>
    </row>
    <row r="317" spans="1:6" x14ac:dyDescent="0.25">
      <c r="A317" t="s">
        <v>16</v>
      </c>
      <c r="B317" t="s">
        <v>85</v>
      </c>
      <c r="C317" t="s">
        <v>61</v>
      </c>
      <c r="D317" t="s">
        <v>10</v>
      </c>
      <c r="E317" t="s">
        <v>31</v>
      </c>
      <c r="F317">
        <v>12024.549999999996</v>
      </c>
    </row>
    <row r="318" spans="1:6" x14ac:dyDescent="0.25">
      <c r="A318" t="s">
        <v>18</v>
      </c>
      <c r="B318" t="s">
        <v>85</v>
      </c>
      <c r="C318" t="s">
        <v>61</v>
      </c>
      <c r="D318" t="s">
        <v>10</v>
      </c>
      <c r="E318" t="s">
        <v>31</v>
      </c>
      <c r="F318">
        <v>8780.7000000000007</v>
      </c>
    </row>
    <row r="319" spans="1:6" x14ac:dyDescent="0.25">
      <c r="A319" t="s">
        <v>19</v>
      </c>
      <c r="B319" t="s">
        <v>85</v>
      </c>
      <c r="C319" t="s">
        <v>61</v>
      </c>
      <c r="D319" t="s">
        <v>10</v>
      </c>
      <c r="E319" t="s">
        <v>31</v>
      </c>
      <c r="F319">
        <v>8275.77</v>
      </c>
    </row>
    <row r="320" spans="1:6" x14ac:dyDescent="0.25">
      <c r="A320" t="s">
        <v>20</v>
      </c>
      <c r="B320" t="s">
        <v>85</v>
      </c>
      <c r="C320" t="s">
        <v>61</v>
      </c>
      <c r="D320" t="s">
        <v>10</v>
      </c>
      <c r="E320" t="s">
        <v>31</v>
      </c>
      <c r="F320">
        <v>5932.5799999999981</v>
      </c>
    </row>
    <row r="321" spans="1:6" x14ac:dyDescent="0.25">
      <c r="A321" t="s">
        <v>21</v>
      </c>
      <c r="B321" t="s">
        <v>85</v>
      </c>
      <c r="C321" t="s">
        <v>61</v>
      </c>
      <c r="D321" t="s">
        <v>10</v>
      </c>
      <c r="E321" t="s">
        <v>31</v>
      </c>
      <c r="F321">
        <v>9457.0399999999991</v>
      </c>
    </row>
    <row r="322" spans="1:6" x14ac:dyDescent="0.25">
      <c r="A322" t="s">
        <v>22</v>
      </c>
      <c r="B322" t="s">
        <v>85</v>
      </c>
      <c r="C322" t="s">
        <v>61</v>
      </c>
      <c r="D322" t="s">
        <v>10</v>
      </c>
      <c r="E322" t="s">
        <v>31</v>
      </c>
      <c r="F322">
        <v>7912.1000000000013</v>
      </c>
    </row>
    <row r="323" spans="1:6" x14ac:dyDescent="0.25">
      <c r="A323" t="s">
        <v>23</v>
      </c>
      <c r="B323" t="s">
        <v>85</v>
      </c>
      <c r="C323" t="s">
        <v>61</v>
      </c>
      <c r="D323" t="s">
        <v>10</v>
      </c>
      <c r="E323" t="s">
        <v>31</v>
      </c>
      <c r="F323">
        <v>10866.049999999997</v>
      </c>
    </row>
    <row r="324" spans="1:6" x14ac:dyDescent="0.25">
      <c r="A324" t="s">
        <v>24</v>
      </c>
      <c r="B324" t="s">
        <v>91</v>
      </c>
      <c r="C324" t="s">
        <v>61</v>
      </c>
      <c r="D324" t="s">
        <v>10</v>
      </c>
      <c r="E324" t="s">
        <v>31</v>
      </c>
      <c r="F324">
        <v>9382.9699999999957</v>
      </c>
    </row>
    <row r="325" spans="1:6" x14ac:dyDescent="0.25">
      <c r="A325" t="s">
        <v>25</v>
      </c>
      <c r="B325" t="s">
        <v>85</v>
      </c>
      <c r="C325" t="s">
        <v>61</v>
      </c>
      <c r="D325" t="s">
        <v>10</v>
      </c>
      <c r="E325" t="s">
        <v>31</v>
      </c>
      <c r="F325">
        <v>20890.980000000003</v>
      </c>
    </row>
    <row r="326" spans="1:6" x14ac:dyDescent="0.25">
      <c r="A326" t="s">
        <v>26</v>
      </c>
      <c r="B326" t="s">
        <v>85</v>
      </c>
      <c r="C326" t="s">
        <v>61</v>
      </c>
      <c r="D326" t="s">
        <v>10</v>
      </c>
      <c r="E326" t="s">
        <v>31</v>
      </c>
      <c r="F326">
        <v>11219.009999999997</v>
      </c>
    </row>
    <row r="327" spans="1:6" x14ac:dyDescent="0.25">
      <c r="A327" t="s">
        <v>27</v>
      </c>
      <c r="B327" t="s">
        <v>85</v>
      </c>
      <c r="C327" t="s">
        <v>61</v>
      </c>
      <c r="D327" t="s">
        <v>10</v>
      </c>
      <c r="E327" t="s">
        <v>31</v>
      </c>
      <c r="F327">
        <v>11776.779999999995</v>
      </c>
    </row>
    <row r="328" spans="1:6" x14ac:dyDescent="0.25">
      <c r="A328" t="s">
        <v>95</v>
      </c>
      <c r="B328" t="s">
        <v>85</v>
      </c>
      <c r="C328" t="s">
        <v>61</v>
      </c>
      <c r="D328" t="s">
        <v>10</v>
      </c>
      <c r="E328" t="s">
        <v>31</v>
      </c>
      <c r="F328">
        <v>8932.7099999999973</v>
      </c>
    </row>
    <row r="329" spans="1:6" x14ac:dyDescent="0.25">
      <c r="A329" t="s">
        <v>104</v>
      </c>
      <c r="B329" t="s">
        <v>85</v>
      </c>
      <c r="C329" t="s">
        <v>61</v>
      </c>
      <c r="D329" t="s">
        <v>10</v>
      </c>
      <c r="E329" t="s">
        <v>31</v>
      </c>
      <c r="F329">
        <v>9091.6399999999958</v>
      </c>
    </row>
    <row r="330" spans="1:6" x14ac:dyDescent="0.25">
      <c r="A330" t="s">
        <v>105</v>
      </c>
      <c r="B330" t="s">
        <v>85</v>
      </c>
      <c r="C330" t="s">
        <v>61</v>
      </c>
      <c r="D330" t="s">
        <v>10</v>
      </c>
      <c r="E330" t="s">
        <v>31</v>
      </c>
      <c r="F330">
        <v>5779.369999999999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D1A4A6-562A-4B4F-B7D6-94DCAFF5C2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INTEGRAÇÃO</vt:lpstr>
      <vt:lpstr>RESUMO</vt:lpstr>
      <vt:lpstr>BASE INTEGRAÇÃO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</dc:creator>
  <cp:lastModifiedBy>Ivanilza Silva de Jesus</cp:lastModifiedBy>
  <dcterms:created xsi:type="dcterms:W3CDTF">2025-10-10T17:12:01Z</dcterms:created>
  <dcterms:modified xsi:type="dcterms:W3CDTF">2026-09-09T17:54:42Z</dcterms:modified>
</cp:coreProperties>
</file>